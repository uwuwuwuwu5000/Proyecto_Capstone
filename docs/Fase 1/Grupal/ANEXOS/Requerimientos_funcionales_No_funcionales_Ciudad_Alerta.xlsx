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_2\Proyecto_2\"/>
    </mc:Choice>
  </mc:AlternateContent>
  <xr:revisionPtr revIDLastSave="0" documentId="13_ncr:1_{D84B1FAD-F70E-4EED-8723-5040EE0942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querimientos Funcionales" sheetId="1" r:id="rId1"/>
    <sheet name="Requerimientos No Funcionales" sheetId="2" r:id="rId2"/>
    <sheet name="Resumen" sheetId="3" r:id="rId3"/>
  </sheets>
  <calcPr calcId="191029"/>
</workbook>
</file>

<file path=xl/calcChain.xml><?xml version="1.0" encoding="utf-8"?>
<calcChain xmlns="http://schemas.openxmlformats.org/spreadsheetml/2006/main">
  <c r="B5" i="3" l="1"/>
  <c r="B4" i="3"/>
  <c r="B6" i="3" s="1"/>
</calcChain>
</file>

<file path=xl/sharedStrings.xml><?xml version="1.0" encoding="utf-8"?>
<sst xmlns="http://schemas.openxmlformats.org/spreadsheetml/2006/main" count="322" uniqueCount="198">
  <si>
    <t>ID</t>
  </si>
  <si>
    <t>Nombre del Requerimiento</t>
  </si>
  <si>
    <t>Descripción</t>
  </si>
  <si>
    <t>Prioridad</t>
  </si>
  <si>
    <t>Estado</t>
  </si>
  <si>
    <t>RF-01</t>
  </si>
  <si>
    <t>Registro de usuarios</t>
  </si>
  <si>
    <t>El sistema debe permitir que una persona cree una cuenta ingresando los datos mínimos requeridos para utilizar Ciudad Alerta.</t>
  </si>
  <si>
    <t>Alta</t>
  </si>
  <si>
    <t>Pendiente</t>
  </si>
  <si>
    <t>RF-02</t>
  </si>
  <si>
    <t>Autenticación de usuarios</t>
  </si>
  <si>
    <t>El sistema debe permitir que los usuarios registrados inicien sesión mediante credenciales válidas.</t>
  </si>
  <si>
    <t>RF-03</t>
  </si>
  <si>
    <t>Cierre de sesión</t>
  </si>
  <si>
    <t>El sistema debe permitir que el usuario finalice su sesión de forma segura.</t>
  </si>
  <si>
    <t>RF-04</t>
  </si>
  <si>
    <t>Recuperación de acceso</t>
  </si>
  <si>
    <t>El sistema debe permitir iniciar un proceso de recuperación de contraseña o acceso a la cuenta.</t>
  </si>
  <si>
    <t>Media</t>
  </si>
  <si>
    <t>RF-05</t>
  </si>
  <si>
    <t>Gestión de perfil</t>
  </si>
  <si>
    <t>El usuario debe poder consultar y actualizar los datos básicos permitidos de su perfil.</t>
  </si>
  <si>
    <t>RF-06</t>
  </si>
  <si>
    <t>Gestión de roles y permisos</t>
  </si>
  <si>
    <t>El sistema debe permitir asignar roles y permisos para controlar el acceso a funcionalidades administrativas y ciudadanas.</t>
  </si>
  <si>
    <t>RF-07</t>
  </si>
  <si>
    <t>Crear reporte de incidencia</t>
  </si>
  <si>
    <t>El sistema debe permitir a un usuario autenticado registrar una incidencia urbana con categoría, descripción, ubicación y evidencia cuando corresponda.</t>
  </si>
  <si>
    <t>RF-08</t>
  </si>
  <si>
    <t>Adjuntar fotografía</t>
  </si>
  <si>
    <t>La aplicación móvil debe permitir capturar o adjuntar una fotografía como evidencia de la incidencia reportada.</t>
  </si>
  <si>
    <t>RF-09</t>
  </si>
  <si>
    <t>Obtener geolocalización</t>
  </si>
  <si>
    <t>La aplicación debe permitir obtener la ubicación geográfica del dispositivo, previa autorización del usuario, para asociarla al reporte.</t>
  </si>
  <si>
    <t>RF-10</t>
  </si>
  <si>
    <t>Ingreso o ajuste de ubicación</t>
  </si>
  <si>
    <t>El sistema debe permitir confirmar o ajustar la ubicación de la incidencia cuando la geolocalización automática no sea suficiente.</t>
  </si>
  <si>
    <t>RF-11</t>
  </si>
  <si>
    <t>Categorización de incidencia</t>
  </si>
  <si>
    <t>El sistema debe permitir seleccionar una categoría para el reporte y podrá sugerir una categoría mediante reglas o apoyo de IA cuando sea viable.</t>
  </si>
  <si>
    <t>RF-12</t>
  </si>
  <si>
    <t>Validación de datos del reporte</t>
  </si>
  <si>
    <t>El sistema debe validar que los datos obligatorios del reporte estén completos antes de registrarlo.</t>
  </si>
  <si>
    <t>RF-13</t>
  </si>
  <si>
    <t>Detección de posible duplicidad</t>
  </si>
  <si>
    <t>El sistema debe comprobar razonablemente si existen reportes similares cercanos antes de crear una nueva incidencia.</t>
  </si>
  <si>
    <t>RF-14</t>
  </si>
  <si>
    <t>Visualización de reporte existente</t>
  </si>
  <si>
    <t>Cuando se detecte una posible duplicidad, el sistema debe permitir visualizar el reporte existente para evitar registros innecesarios.</t>
  </si>
  <si>
    <t>RF-15</t>
  </si>
  <si>
    <t>Verificación comunitaria</t>
  </si>
  <si>
    <t>Un usuario autenticado debe poder confirmar una incidencia existente mediante la acción de verificación comunitaria definida por el proyecto.</t>
  </si>
  <si>
    <t>RF-16</t>
  </si>
  <si>
    <t>Registro de verificaciones</t>
  </si>
  <si>
    <t>El sistema debe registrar las verificaciones comunitarias y evitar confirmaciones repetidas indebidamente por un mismo usuario.</t>
  </si>
  <si>
    <t>RF-17</t>
  </si>
  <si>
    <t>Visualización en mapa</t>
  </si>
  <si>
    <t>El sistema debe mostrar las incidencias georreferenciadas en un mapa sin exponer datos personales innecesarios del usuario reportante.</t>
  </si>
  <si>
    <t>RF-18</t>
  </si>
  <si>
    <t>Consulta de detalle de incidencia</t>
  </si>
  <si>
    <t>El usuario debe poder consultar el detalle autorizado de un reporte, incluyendo categoría, descripción, ubicación, estado y verificaciones.</t>
  </si>
  <si>
    <t>RF-19</t>
  </si>
  <si>
    <t>Enrutamiento de reporte</t>
  </si>
  <si>
    <t>El sistema debe asociar cada incidencia con un tipo de organismo responsable mediante reglas definidas por categoría y, cuando corresponda, ubicación.</t>
  </si>
  <si>
    <t>RF-20</t>
  </si>
  <si>
    <t>Gestión de estados</t>
  </si>
  <si>
    <t>RF-21</t>
  </si>
  <si>
    <t>Seguimiento de reportes</t>
  </si>
  <si>
    <t>El usuario debe poder consultar el estado y evolución de los reportes que haya registrado.</t>
  </si>
  <si>
    <t>RF-22</t>
  </si>
  <si>
    <t>Notificación de cambios</t>
  </si>
  <si>
    <t>El sistema debe informar al usuario los cambios relevantes de estado mediante los mecanismos habilitados en el prototipo.</t>
  </si>
  <si>
    <t>RF-23</t>
  </si>
  <si>
    <t>Gestión administrativa de reportes</t>
  </si>
  <si>
    <t>El administrador debe poder consultar, revisar, filtrar y gestionar las incidencias registradas.</t>
  </si>
  <si>
    <t>RF-24</t>
  </si>
  <si>
    <t>Gestión de categorías</t>
  </si>
  <si>
    <t>El administrador debe poder consultar y mantener las categorías utilizadas para clasificar incidencias.</t>
  </si>
  <si>
    <t>RF-25</t>
  </si>
  <si>
    <t>Dashboard de gestión</t>
  </si>
  <si>
    <t>La plataforma web debe mostrar indicadores básicos de reportes por categoría, estado y ubicación.</t>
  </si>
  <si>
    <t>RF-26</t>
  </si>
  <si>
    <t>Filtrado de reportes</t>
  </si>
  <si>
    <t>El sistema debe permitir filtrar incidencias por criterios como categoría, estado, fecha o sector.</t>
  </si>
  <si>
    <t>RF-27</t>
  </si>
  <si>
    <t>Registro de trazabilidad</t>
  </si>
  <si>
    <t>El sistema debe almacenar usuario, fecha, hora, tipo de operación y resultado de las operaciones relevantes.</t>
  </si>
  <si>
    <t>RF-28</t>
  </si>
  <si>
    <t>Consulta de historial</t>
  </si>
  <si>
    <t>El administrador autorizado debe poder consultar el historial de cambios y operaciones relevantes de los reportes.</t>
  </si>
  <si>
    <t>RF-29</t>
  </si>
  <si>
    <t>Cierre de incidencia</t>
  </si>
  <si>
    <t>RF-30</t>
  </si>
  <si>
    <t>Acceso a información pública del reporte</t>
  </si>
  <si>
    <t>El sistema debe permitir visualizar información pública de las incidencias sin revelar datos personales innecesarios del usuario que reporta.</t>
  </si>
  <si>
    <t>RF-31</t>
  </si>
  <si>
    <t>Gestión de alertas tempranas inclusivas</t>
  </si>
  <si>
    <t>El sistema debe permitir registrar, geolocalizar, publicar y consultar alertas preventivas asociadas a interrupciones de servicios o condiciones urbanas que puedan afectar la accesibilidad y movilidad de las personas.</t>
  </si>
  <si>
    <t>RF-32</t>
  </si>
  <si>
    <t>Contador de confirmaciones comunitarias</t>
  </si>
  <si>
    <t>El sistema debe contabilizar y mostrar la cantidad de confirmaciones válidas asociadas a una incidencia, evitando contabilizar más de una confirmación del mismo usuario cuando corresponda.</t>
  </si>
  <si>
    <t>RF-33</t>
  </si>
  <si>
    <t>Reconocimiento por colaboración</t>
  </si>
  <si>
    <t>El sistema debe permitir asignar reconocimientos visuales a los usuarios por reportes y confirmaciones que cumplan los criterios de validación definidos por el proyecto.</t>
  </si>
  <si>
    <t>RF-34</t>
  </si>
  <si>
    <t>Niveles de colaboración</t>
  </si>
  <si>
    <t>El sistema debe permitir representar niveles de colaboración mediante reconocimientos visuales, como Colaborador, Colaborador Activo y Colaborador Destacado, de acuerdo con reglas previamente definidas.</t>
  </si>
  <si>
    <t>RF-35</t>
  </si>
  <si>
    <t>Historial de participación ciudadana</t>
  </si>
  <si>
    <t>El usuario autenticado debe poder consultar su historial de reportes, confirmaciones y reconocimientos obtenidos en Ciudad Alerta.</t>
  </si>
  <si>
    <t>RF-36</t>
  </si>
  <si>
    <t>Perfil de colaboración</t>
  </si>
  <si>
    <t>El sistema debe mostrar al usuario sus reconocimientos de colaboración dentro de su perfil, sin generar un ranking público entre ciudadanos.</t>
  </si>
  <si>
    <t>RNF-01</t>
  </si>
  <si>
    <t>Seguridad</t>
  </si>
  <si>
    <t>El sistema debe utilizar mecanismos de autenticación y autorización para proteger el acceso a la plataforma y sus funcionalidades.</t>
  </si>
  <si>
    <t>RNF-02</t>
  </si>
  <si>
    <t>Confidencialidad</t>
  </si>
  <si>
    <t>El sistema debe restringir la visualización de datos de acuerdo con los roles y permisos definidos.</t>
  </si>
  <si>
    <t>RNF-03</t>
  </si>
  <si>
    <t>Comunicación segura</t>
  </si>
  <si>
    <t>La comunicación entre las aplicaciones y los servicios en la nube debe realizarse mediante conexiones seguras HTTPS/TLS.</t>
  </si>
  <si>
    <t>RNF-04</t>
  </si>
  <si>
    <t>Protección de credenciales</t>
  </si>
  <si>
    <t>Las credenciales, claves, tokens y secretos no deben almacenarse públicamente ni gestionarse en texto plano.</t>
  </si>
  <si>
    <t>RNF-05</t>
  </si>
  <si>
    <t>Integridad de datos</t>
  </si>
  <si>
    <t>El sistema debe aplicar validaciones que reduzcan reportes incompletos, inconsistentes, duplicados o modificados sin autorización.</t>
  </si>
  <si>
    <t>RNF-06</t>
  </si>
  <si>
    <t>Trazabilidad</t>
  </si>
  <si>
    <t>Las operaciones relevantes deben quedar registradas para permitir su posterior revisión y auditoría.</t>
  </si>
  <si>
    <t>RNF-07</t>
  </si>
  <si>
    <t>Rendimiento</t>
  </si>
  <si>
    <t>Las operaciones habituales de registro, consulta y visualización de incidencias deben responder en un tiempo razonable bajo condiciones normales de conectividad.</t>
  </si>
  <si>
    <t>RNF-08</t>
  </si>
  <si>
    <t>Disponibilidad</t>
  </si>
  <si>
    <t>La solución debe estar disponible mientras los servicios en la nube y la conectividad requeridos se encuentren operativos.</t>
  </si>
  <si>
    <t>RNF-09</t>
  </si>
  <si>
    <t>Usabilidad</t>
  </si>
  <si>
    <t>Las interfaces web y móvil deben ser claras, consistentes y comprensibles para los usuarios definidos.</t>
  </si>
  <si>
    <t>RNF-10</t>
  </si>
  <si>
    <t>Accesibilidad</t>
  </si>
  <si>
    <t>Las interfaces principales deben considerar criterios de accesibilidad digital para facilitar su uso por personas con discapacidad, movilidad reducida y personas mayores.</t>
  </si>
  <si>
    <t>RNF-11</t>
  </si>
  <si>
    <t>Diseño adaptable</t>
  </si>
  <si>
    <t>La plataforma web debe adaptarse a resoluciones habituales y la aplicación móvil a tamaños de pantalla compatibles con el proyecto.</t>
  </si>
  <si>
    <t>RNF-12</t>
  </si>
  <si>
    <t>Compatibilidad móvil</t>
  </si>
  <si>
    <t>La aplicación móvil debe funcionar en los sistemas operativos y versiones definidos como compatibles por el proyecto.</t>
  </si>
  <si>
    <t>RNF-13</t>
  </si>
  <si>
    <t>Compatibilidad web</t>
  </si>
  <si>
    <t>La plataforma web debe funcionar correctamente en navegadores modernos definidos para las pruebas del proyecto.</t>
  </si>
  <si>
    <t>RNF-14</t>
  </si>
  <si>
    <t>Mantenibilidad</t>
  </si>
  <si>
    <t>El código fuente debe organizarse modularmente y mantenerse documentado para facilitar correcciones y mejoras.</t>
  </si>
  <si>
    <t>RNF-15</t>
  </si>
  <si>
    <t>Escalabilidad</t>
  </si>
  <si>
    <t>La arquitectura debe permitir incorporar nuevas categorías, territorios, organismos o funcionalidades sin rediseñar completamente la solución.</t>
  </si>
  <si>
    <t>RNF-16</t>
  </si>
  <si>
    <t>Persistencia</t>
  </si>
  <si>
    <t>La información registrada debe conservarse en la fuente de datos hasta que sea modificada, eliminada o desactivada mediante una operación autorizada.</t>
  </si>
  <si>
    <t>RNF-17</t>
  </si>
  <si>
    <t>Respaldo y recuperación</t>
  </si>
  <si>
    <t>La solución debe considerar mecanismos de respaldo o recuperación compatibles con los servicios tecnológicos utilizados.</t>
  </si>
  <si>
    <t>RNF-18</t>
  </si>
  <si>
    <t>Privacidad y minimización</t>
  </si>
  <si>
    <t>El tratamiento de datos personales, fotografías y geolocalización debe limitarse a la información necesaria para las finalidades definidas en el proyecto.</t>
  </si>
  <si>
    <t>RNF-19</t>
  </si>
  <si>
    <t>Privacidad en mapas</t>
  </si>
  <si>
    <t>La visualización pública de incidencias no debe exponer datos personales innecesarios del usuario que realizó el reporte.</t>
  </si>
  <si>
    <t>RNF-20</t>
  </si>
  <si>
    <t>Calidad de evidencia</t>
  </si>
  <si>
    <t>El sistema debe validar formatos y condiciones mínimas de los archivos de imagen utilizados como evidencia.</t>
  </si>
  <si>
    <t>RNF-21</t>
  </si>
  <si>
    <t>Precisión de geolocalización</t>
  </si>
  <si>
    <t>El sistema debe informar o permitir corregir la ubicación cuando la precisión obtenida no sea suficiente para identificar razonablemente la incidencia.</t>
  </si>
  <si>
    <t>RNF-22</t>
  </si>
  <si>
    <t>Manejo de errores</t>
  </si>
  <si>
    <t>El sistema debe controlar errores de validación, conectividad, permisos o servicios externos sin finalizar inesperadamente la aplicación.</t>
  </si>
  <si>
    <t>RNF-23</t>
  </si>
  <si>
    <t>Sincronización</t>
  </si>
  <si>
    <t>La plataforma web y móvil deben consultar información consistente desde la fuente de datos central definida.</t>
  </si>
  <si>
    <t>RNF-24</t>
  </si>
  <si>
    <t>Control de acceso</t>
  </si>
  <si>
    <t>Los usuarios no deben poder ejecutar operaciones para las cuales su rol no posea autorización.</t>
  </si>
  <si>
    <t>RNF-25</t>
  </si>
  <si>
    <t>Documentación</t>
  </si>
  <si>
    <t>El proyecto debe disponer de documentación técnica, documentación de configuración y manual de usuario para apoyar su utilización y mantenimiento.</t>
  </si>
  <si>
    <t>Ciudad Alerta – Plataforma de Inteligencia Urbana Comunitaria – Resumen de Requerimientos</t>
  </si>
  <si>
    <t>Indicador</t>
  </si>
  <si>
    <t>Cantidad</t>
  </si>
  <si>
    <t>Requerimientos Funcionales</t>
  </si>
  <si>
    <t>Requerimientos No Funcionales</t>
  </si>
  <si>
    <t>Total</t>
  </si>
  <si>
    <t>Nota: las prioridades y estados pueden modificarse durante los Sprints de acuerdo con la planificación del equipo, la validación del MVP y la retroalimentación del Proyecto APT.</t>
  </si>
  <si>
    <t>El sistema debe permitir administrar los estados Reportado, En revisión, Derivado, En proceso, Resuelto y Cerrado, de acuerdo con los permisos definidos.</t>
  </si>
  <si>
    <t>El sistema debe permitir registrar la resolución de una incidencia, actualizar su estado a Resuelto y posteriormente registrar su cierre como Cerrado dentro del historial.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</si>
</sst>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 * #,##0_ ;_ * \-#,##0_ ;_ * &quot;-&quot;_ ;_ @_ "/>
  </numFmts>
  <fonts count="24">
    <font>
      <sz val="11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8" applyNumberFormat="0" applyAlignment="0" applyProtection="0">
      <alignment vertical="center"/>
    </xf>
    <xf numFmtId="0" fontId="11" fillId="7" borderId="19" applyNumberFormat="0" applyAlignment="0" applyProtection="0">
      <alignment vertical="center"/>
    </xf>
    <xf numFmtId="0" fontId="12" fillId="7" borderId="18" applyNumberFormat="0" applyAlignment="0" applyProtection="0">
      <alignment vertical="center"/>
    </xf>
    <xf numFmtId="0" fontId="13" fillId="8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20" fillId="2" borderId="7" xfId="0" applyFont="1" applyFill="1" applyBorder="1" applyAlignment="1">
      <alignment horizontal="center" vertical="top" wrapText="1"/>
    </xf>
    <xf numFmtId="0" fontId="20" fillId="2" borderId="8" xfId="0" applyFont="1" applyFill="1" applyBorder="1" applyAlignment="1">
      <alignment horizontal="center" vertical="top" wrapText="1"/>
    </xf>
    <xf numFmtId="0" fontId="20" fillId="2" borderId="9" xfId="0" applyFont="1" applyFill="1" applyBorder="1" applyAlignment="1">
      <alignment horizontal="center" vertical="top" wrapText="1"/>
    </xf>
    <xf numFmtId="0" fontId="21" fillId="0" borderId="0" xfId="0" applyFont="1"/>
    <xf numFmtId="0" fontId="21" fillId="0" borderId="10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1" fillId="0" borderId="11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1" fillId="0" borderId="13" xfId="0" applyFont="1" applyBorder="1" applyAlignment="1">
      <alignment vertical="top" wrapText="1"/>
    </xf>
    <xf numFmtId="0" fontId="21" fillId="0" borderId="14" xfId="0" applyFont="1" applyBorder="1" applyAlignment="1">
      <alignment vertical="top" wrapText="1"/>
    </xf>
    <xf numFmtId="0" fontId="21" fillId="4" borderId="0" xfId="0" applyFont="1" applyFill="1" applyAlignment="1">
      <alignment wrapText="1"/>
    </xf>
    <xf numFmtId="0" fontId="23" fillId="3" borderId="1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1" fillId="0" borderId="3" xfId="0" applyFont="1" applyBorder="1"/>
    <xf numFmtId="0" fontId="21" fillId="0" borderId="4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2" borderId="0" xfId="0" applyFont="1" applyFill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21" fillId="4" borderId="0" xfId="0" applyFont="1" applyFill="1" applyAlignment="1">
      <alignment horizontal="center" wrapText="1"/>
    </xf>
    <xf numFmtId="0" fontId="21" fillId="0" borderId="0" xfId="0" applyFont="1" applyAlignment="1">
      <alignment horizontal="center"/>
    </xf>
  </cellXfs>
  <cellStyles count="49">
    <cellStyle name="20% - Énfasis1" xfId="26" xr:uid="{00000000-0005-0000-0000-00001A000000}"/>
    <cellStyle name="20% - Énfasis2" xfId="30" xr:uid="{00000000-0005-0000-0000-00001E000000}"/>
    <cellStyle name="20% - Énfasis3" xfId="34" xr:uid="{00000000-0005-0000-0000-000022000000}"/>
    <cellStyle name="20% - Énfasis4" xfId="38" xr:uid="{00000000-0005-0000-0000-000026000000}"/>
    <cellStyle name="20% - Énfasis5" xfId="42" xr:uid="{00000000-0005-0000-0000-00002A000000}"/>
    <cellStyle name="20% - Énfasis6" xfId="46" xr:uid="{00000000-0005-0000-0000-00002E000000}"/>
    <cellStyle name="40% - Énfasis1" xfId="27" xr:uid="{00000000-0005-0000-0000-00001B000000}"/>
    <cellStyle name="40% - Énfasis2" xfId="31" xr:uid="{00000000-0005-0000-0000-00001F000000}"/>
    <cellStyle name="40% - Énfasis3" xfId="35" xr:uid="{00000000-0005-0000-0000-000023000000}"/>
    <cellStyle name="40% - Énfasis4" xfId="39" xr:uid="{00000000-0005-0000-0000-000027000000}"/>
    <cellStyle name="40% - Énfasis5" xfId="43" xr:uid="{00000000-0005-0000-0000-00002B000000}"/>
    <cellStyle name="40% - Énfasis6" xfId="47" xr:uid="{00000000-0005-0000-0000-00002F000000}"/>
    <cellStyle name="60% - Énfasis1" xfId="28" xr:uid="{00000000-0005-0000-0000-00001C000000}"/>
    <cellStyle name="60% - Énfasis2" xfId="32" xr:uid="{00000000-0005-0000-0000-000020000000}"/>
    <cellStyle name="60% - Énfasis3" xfId="36" xr:uid="{00000000-0005-0000-0000-000024000000}"/>
    <cellStyle name="60% - Énfasis4" xfId="40" xr:uid="{00000000-0005-0000-0000-000028000000}"/>
    <cellStyle name="60% - Énfasis5" xfId="44" xr:uid="{00000000-0005-0000-0000-00002C000000}"/>
    <cellStyle name="60% - Énfasis6" xfId="48" xr:uid="{00000000-0005-0000-0000-000030000000}"/>
    <cellStyle name="Cálculo" xfId="18" xr:uid="{00000000-0005-0000-0000-000012000000}"/>
    <cellStyle name="Celda de comprobación" xfId="19" xr:uid="{00000000-0005-0000-0000-000013000000}"/>
    <cellStyle name="Celda vinculada" xfId="20" xr:uid="{00000000-0005-0000-0000-000014000000}"/>
    <cellStyle name="Coma" xfId="1" xr:uid="{00000000-0005-0000-0000-000001000000}"/>
    <cellStyle name="Coma [0]" xfId="4" xr:uid="{00000000-0005-0000-0000-000004000000}"/>
    <cellStyle name="Correcto" xfId="22" xr:uid="{00000000-0005-0000-0000-000016000000}"/>
    <cellStyle name="Énfasis1" xfId="25" xr:uid="{00000000-0005-0000-0000-000019000000}"/>
    <cellStyle name="Énfasis2" xfId="29" xr:uid="{00000000-0005-0000-0000-00001D000000}"/>
    <cellStyle name="Énfasis3" xfId="33" xr:uid="{00000000-0005-0000-0000-000021000000}"/>
    <cellStyle name="Énfasis4" xfId="37" xr:uid="{00000000-0005-0000-0000-000025000000}"/>
    <cellStyle name="Énfasis5" xfId="41" xr:uid="{00000000-0005-0000-0000-000029000000}"/>
    <cellStyle name="Énfasis6" xfId="45" xr:uid="{00000000-0005-0000-0000-00002D000000}"/>
    <cellStyle name="Entrada" xfId="16" xr:uid="{00000000-0005-0000-0000-000010000000}"/>
    <cellStyle name="Hipervínculo" xfId="6" xr:uid="{00000000-0005-0000-0000-000006000000}"/>
    <cellStyle name="Hipervínculo visitado" xfId="7" xr:uid="{00000000-0005-0000-0000-000007000000}"/>
    <cellStyle name="Incorrecto" xfId="23" xr:uid="{00000000-0005-0000-0000-000017000000}"/>
    <cellStyle name="K" xfId="3" xr:uid="{00000000-0005-0000-0000-000003000000}"/>
    <cellStyle name="Moneda" xfId="2" xr:uid="{00000000-0005-0000-0000-000002000000}"/>
    <cellStyle name="Moneda [0]" xfId="5" xr:uid="{00000000-0005-0000-0000-000005000000}"/>
    <cellStyle name="Neutro" xfId="24" xr:uid="{00000000-0005-0000-0000-000018000000}"/>
    <cellStyle name="Normal" xfId="0" builtinId="0"/>
    <cellStyle name="Nota" xfId="8" xr:uid="{00000000-0005-0000-0000-000008000000}"/>
    <cellStyle name="Salida" xfId="17" xr:uid="{00000000-0005-0000-0000-000011000000}"/>
    <cellStyle name="Texto de advertencia" xfId="9" xr:uid="{00000000-0005-0000-0000-000009000000}"/>
    <cellStyle name="Texto explicativo" xfId="11" xr:uid="{00000000-0005-0000-0000-00000B000000}"/>
    <cellStyle name="Título" xfId="10" xr:uid="{00000000-0005-0000-0000-00000A000000}"/>
    <cellStyle name="Título 1" xfId="12" xr:uid="{00000000-0005-0000-0000-00000C000000}"/>
    <cellStyle name="Título 2" xfId="13" xr:uid="{00000000-0005-0000-0000-00000D000000}"/>
    <cellStyle name="Título 3" xfId="14" xr:uid="{00000000-0005-0000-0000-00000E000000}"/>
    <cellStyle name="Título 4" xfId="15" xr:uid="{00000000-0005-0000-0000-00000F000000}"/>
    <cellStyle name="Total" xfId="21" xr:uid="{00000000-0005-0000-0000-000015000000}"/>
  </cellStyles>
  <dxfs count="1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F" displayName="TablaRF" ref="A1:E32" totalsRowShown="0" headerRowDxfId="13" dataDxfId="12">
  <tableColumns count="5">
    <tableColumn id="1" xr3:uid="{00000000-0010-0000-0000-000001000000}" name="ID" dataDxfId="11"/>
    <tableColumn id="2" xr3:uid="{00000000-0010-0000-0000-000002000000}" name="Nombre del Requerimiento" dataDxfId="10"/>
    <tableColumn id="3" xr3:uid="{00000000-0010-0000-0000-000003000000}" name="Descripción" dataDxfId="2"/>
    <tableColumn id="4" xr3:uid="{00000000-0010-0000-0000-000004000000}" name="Prioridad" dataDxfId="0"/>
    <tableColumn id="5" xr3:uid="{00000000-0010-0000-0000-000005000000}" name="Estad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NF" displayName="TablaRNF" ref="A1:E26" totalsRowShown="0" headerRowDxfId="9" dataDxfId="8">
  <tableColumns count="5">
    <tableColumn id="1" xr3:uid="{00000000-0010-0000-0100-000001000000}" name="ID" dataDxfId="7"/>
    <tableColumn id="2" xr3:uid="{00000000-0010-0000-0100-000002000000}" name="Nombre del Requerimiento" dataDxfId="6"/>
    <tableColumn id="3" xr3:uid="{00000000-0010-0000-0100-000003000000}" name="Descripción" dataDxfId="5"/>
    <tableColumn id="4" xr3:uid="{00000000-0010-0000-0100-000004000000}" name="Prioridad" dataDxfId="4"/>
    <tableColumn id="5" xr3:uid="{00000000-0010-0000-0100-000005000000}" name="Estad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8" sqref="E8"/>
    </sheetView>
  </sheetViews>
  <sheetFormatPr baseColWidth="10" defaultColWidth="9" defaultRowHeight="14.4"/>
  <cols>
    <col min="1" max="1" width="12" style="4" customWidth="1"/>
    <col min="2" max="2" width="28" style="4" customWidth="1"/>
    <col min="3" max="3" width="70" style="4" customWidth="1"/>
    <col min="4" max="4" width="14" style="23" customWidth="1"/>
    <col min="5" max="5" width="14" style="4" customWidth="1"/>
    <col min="6" max="16384" width="9" style="4"/>
  </cols>
  <sheetData>
    <row r="1" spans="1:5" ht="22.3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8.8">
      <c r="A2" s="5" t="s">
        <v>5</v>
      </c>
      <c r="B2" s="6" t="s">
        <v>6</v>
      </c>
      <c r="C2" s="6" t="s">
        <v>7</v>
      </c>
      <c r="D2" s="20" t="s">
        <v>8</v>
      </c>
      <c r="E2" s="7" t="s">
        <v>9</v>
      </c>
    </row>
    <row r="3" spans="1:5" ht="28.8">
      <c r="A3" s="5" t="s">
        <v>10</v>
      </c>
      <c r="B3" s="6" t="s">
        <v>11</v>
      </c>
      <c r="C3" s="6" t="s">
        <v>12</v>
      </c>
      <c r="D3" s="20" t="s">
        <v>8</v>
      </c>
      <c r="E3" s="7" t="s">
        <v>9</v>
      </c>
    </row>
    <row r="4" spans="1:5">
      <c r="A4" s="5" t="s">
        <v>13</v>
      </c>
      <c r="B4" s="6" t="s">
        <v>14</v>
      </c>
      <c r="C4" s="6" t="s">
        <v>15</v>
      </c>
      <c r="D4" s="20" t="s">
        <v>8</v>
      </c>
      <c r="E4" s="7" t="s">
        <v>9</v>
      </c>
    </row>
    <row r="5" spans="1:5" ht="28.8">
      <c r="A5" s="5" t="s">
        <v>16</v>
      </c>
      <c r="B5" s="6" t="s">
        <v>17</v>
      </c>
      <c r="C5" s="6" t="s">
        <v>18</v>
      </c>
      <c r="D5" s="20" t="s">
        <v>19</v>
      </c>
      <c r="E5" s="7" t="s">
        <v>9</v>
      </c>
    </row>
    <row r="6" spans="1:5">
      <c r="A6" s="5" t="s">
        <v>20</v>
      </c>
      <c r="B6" s="6" t="s">
        <v>21</v>
      </c>
      <c r="C6" s="6" t="s">
        <v>22</v>
      </c>
      <c r="D6" s="20" t="s">
        <v>19</v>
      </c>
      <c r="E6" s="7" t="s">
        <v>9</v>
      </c>
    </row>
    <row r="7" spans="1:5" ht="28.8">
      <c r="A7" s="5" t="s">
        <v>23</v>
      </c>
      <c r="B7" s="6" t="s">
        <v>24</v>
      </c>
      <c r="C7" s="6" t="s">
        <v>25</v>
      </c>
      <c r="D7" s="20" t="s">
        <v>8</v>
      </c>
      <c r="E7" s="7" t="s">
        <v>9</v>
      </c>
    </row>
    <row r="8" spans="1:5" ht="28.8">
      <c r="A8" s="5" t="s">
        <v>26</v>
      </c>
      <c r="B8" s="6" t="s">
        <v>27</v>
      </c>
      <c r="C8" s="6" t="s">
        <v>28</v>
      </c>
      <c r="D8" s="20" t="s">
        <v>8</v>
      </c>
      <c r="E8" s="7" t="s">
        <v>9</v>
      </c>
    </row>
    <row r="9" spans="1:5" ht="28.8">
      <c r="A9" s="5" t="s">
        <v>29</v>
      </c>
      <c r="B9" s="6" t="s">
        <v>30</v>
      </c>
      <c r="C9" s="6" t="s">
        <v>31</v>
      </c>
      <c r="D9" s="20" t="s">
        <v>8</v>
      </c>
      <c r="E9" s="7" t="s">
        <v>9</v>
      </c>
    </row>
    <row r="10" spans="1:5" ht="28.8">
      <c r="A10" s="5" t="s">
        <v>32</v>
      </c>
      <c r="B10" s="6" t="s">
        <v>33</v>
      </c>
      <c r="C10" s="6" t="s">
        <v>34</v>
      </c>
      <c r="D10" s="20" t="s">
        <v>8</v>
      </c>
      <c r="E10" s="7" t="s">
        <v>9</v>
      </c>
    </row>
    <row r="11" spans="1:5" ht="28.8">
      <c r="A11" s="5" t="s">
        <v>35</v>
      </c>
      <c r="B11" s="6" t="s">
        <v>36</v>
      </c>
      <c r="C11" s="6" t="s">
        <v>37</v>
      </c>
      <c r="D11" s="20" t="s">
        <v>19</v>
      </c>
      <c r="E11" s="7" t="s">
        <v>9</v>
      </c>
    </row>
    <row r="12" spans="1:5" ht="28.8">
      <c r="A12" s="5" t="s">
        <v>38</v>
      </c>
      <c r="B12" s="6" t="s">
        <v>39</v>
      </c>
      <c r="C12" s="6" t="s">
        <v>40</v>
      </c>
      <c r="D12" s="20" t="s">
        <v>8</v>
      </c>
      <c r="E12" s="7" t="s">
        <v>9</v>
      </c>
    </row>
    <row r="13" spans="1:5" ht="28.8">
      <c r="A13" s="5" t="s">
        <v>41</v>
      </c>
      <c r="B13" s="6" t="s">
        <v>42</v>
      </c>
      <c r="C13" s="6" t="s">
        <v>43</v>
      </c>
      <c r="D13" s="20" t="s">
        <v>8</v>
      </c>
      <c r="E13" s="7" t="s">
        <v>9</v>
      </c>
    </row>
    <row r="14" spans="1:5" ht="28.8">
      <c r="A14" s="5" t="s">
        <v>44</v>
      </c>
      <c r="B14" s="6" t="s">
        <v>45</v>
      </c>
      <c r="C14" s="6" t="s">
        <v>46</v>
      </c>
      <c r="D14" s="20" t="s">
        <v>19</v>
      </c>
      <c r="E14" s="7" t="s">
        <v>9</v>
      </c>
    </row>
    <row r="15" spans="1:5" ht="28.8">
      <c r="A15" s="5" t="s">
        <v>47</v>
      </c>
      <c r="B15" s="6" t="s">
        <v>48</v>
      </c>
      <c r="C15" s="6" t="s">
        <v>49</v>
      </c>
      <c r="D15" s="20" t="s">
        <v>19</v>
      </c>
      <c r="E15" s="7" t="s">
        <v>9</v>
      </c>
    </row>
    <row r="16" spans="1:5" ht="28.8">
      <c r="A16" s="5" t="s">
        <v>50</v>
      </c>
      <c r="B16" s="6" t="s">
        <v>51</v>
      </c>
      <c r="C16" s="6" t="s">
        <v>52</v>
      </c>
      <c r="D16" s="20" t="s">
        <v>8</v>
      </c>
      <c r="E16" s="7" t="s">
        <v>9</v>
      </c>
    </row>
    <row r="17" spans="1:5" ht="28.8">
      <c r="A17" s="5" t="s">
        <v>53</v>
      </c>
      <c r="B17" s="6" t="s">
        <v>54</v>
      </c>
      <c r="C17" s="6" t="s">
        <v>55</v>
      </c>
      <c r="D17" s="20" t="s">
        <v>8</v>
      </c>
      <c r="E17" s="7" t="s">
        <v>9</v>
      </c>
    </row>
    <row r="18" spans="1:5" ht="28.8">
      <c r="A18" s="5" t="s">
        <v>56</v>
      </c>
      <c r="B18" s="6" t="s">
        <v>57</v>
      </c>
      <c r="C18" s="6" t="s">
        <v>58</v>
      </c>
      <c r="D18" s="20" t="s">
        <v>8</v>
      </c>
      <c r="E18" s="7" t="s">
        <v>9</v>
      </c>
    </row>
    <row r="19" spans="1:5" ht="28.8">
      <c r="A19" s="5" t="s">
        <v>59</v>
      </c>
      <c r="B19" s="6" t="s">
        <v>60</v>
      </c>
      <c r="C19" s="6" t="s">
        <v>61</v>
      </c>
      <c r="D19" s="20" t="s">
        <v>8</v>
      </c>
      <c r="E19" s="7" t="s">
        <v>9</v>
      </c>
    </row>
    <row r="20" spans="1:5" ht="28.8">
      <c r="A20" s="5" t="s">
        <v>62</v>
      </c>
      <c r="B20" s="6" t="s">
        <v>63</v>
      </c>
      <c r="C20" s="6" t="s">
        <v>64</v>
      </c>
      <c r="D20" s="20" t="s">
        <v>8</v>
      </c>
      <c r="E20" s="7" t="s">
        <v>9</v>
      </c>
    </row>
    <row r="21" spans="1:5" ht="28.8">
      <c r="A21" s="5" t="s">
        <v>65</v>
      </c>
      <c r="B21" s="6" t="s">
        <v>66</v>
      </c>
      <c r="C21" s="6" t="s">
        <v>196</v>
      </c>
      <c r="D21" s="20" t="s">
        <v>8</v>
      </c>
      <c r="E21" s="7" t="s">
        <v>9</v>
      </c>
    </row>
    <row r="22" spans="1:5">
      <c r="A22" s="5" t="s">
        <v>67</v>
      </c>
      <c r="B22" s="6" t="s">
        <v>68</v>
      </c>
      <c r="C22" s="6" t="s">
        <v>69</v>
      </c>
      <c r="D22" s="20" t="s">
        <v>8</v>
      </c>
      <c r="E22" s="7" t="s">
        <v>9</v>
      </c>
    </row>
    <row r="23" spans="1:5" ht="28.8">
      <c r="A23" s="5" t="s">
        <v>70</v>
      </c>
      <c r="B23" s="6" t="s">
        <v>71</v>
      </c>
      <c r="C23" s="6" t="s">
        <v>72</v>
      </c>
      <c r="D23" s="20" t="s">
        <v>19</v>
      </c>
      <c r="E23" s="7" t="s">
        <v>9</v>
      </c>
    </row>
    <row r="24" spans="1:5">
      <c r="A24" s="5" t="s">
        <v>73</v>
      </c>
      <c r="B24" s="6" t="s">
        <v>74</v>
      </c>
      <c r="C24" s="6" t="s">
        <v>75</v>
      </c>
      <c r="D24" s="20" t="s">
        <v>8</v>
      </c>
      <c r="E24" s="7" t="s">
        <v>9</v>
      </c>
    </row>
    <row r="25" spans="1:5" ht="28.8">
      <c r="A25" s="5" t="s">
        <v>76</v>
      </c>
      <c r="B25" s="6" t="s">
        <v>77</v>
      </c>
      <c r="C25" s="6" t="s">
        <v>78</v>
      </c>
      <c r="D25" s="20" t="s">
        <v>19</v>
      </c>
      <c r="E25" s="7" t="s">
        <v>9</v>
      </c>
    </row>
    <row r="26" spans="1:5" ht="28.8">
      <c r="A26" s="5" t="s">
        <v>79</v>
      </c>
      <c r="B26" s="6" t="s">
        <v>80</v>
      </c>
      <c r="C26" s="6" t="s">
        <v>81</v>
      </c>
      <c r="D26" s="20" t="s">
        <v>19</v>
      </c>
      <c r="E26" s="7" t="s">
        <v>9</v>
      </c>
    </row>
    <row r="27" spans="1:5" ht="28.8">
      <c r="A27" s="5" t="s">
        <v>82</v>
      </c>
      <c r="B27" s="6" t="s">
        <v>83</v>
      </c>
      <c r="C27" s="6" t="s">
        <v>84</v>
      </c>
      <c r="D27" s="20" t="s">
        <v>19</v>
      </c>
      <c r="E27" s="7" t="s">
        <v>9</v>
      </c>
    </row>
    <row r="28" spans="1:5" ht="28.8">
      <c r="A28" s="5" t="s">
        <v>85</v>
      </c>
      <c r="B28" s="6" t="s">
        <v>86</v>
      </c>
      <c r="C28" s="6" t="s">
        <v>87</v>
      </c>
      <c r="D28" s="20" t="s">
        <v>8</v>
      </c>
      <c r="E28" s="7" t="s">
        <v>9</v>
      </c>
    </row>
    <row r="29" spans="1:5" ht="28.8">
      <c r="A29" s="5" t="s">
        <v>88</v>
      </c>
      <c r="B29" s="6" t="s">
        <v>89</v>
      </c>
      <c r="C29" s="6" t="s">
        <v>90</v>
      </c>
      <c r="D29" s="20" t="s">
        <v>19</v>
      </c>
      <c r="E29" s="7" t="s">
        <v>9</v>
      </c>
    </row>
    <row r="30" spans="1:5" ht="28.8">
      <c r="A30" s="5" t="s">
        <v>91</v>
      </c>
      <c r="B30" s="6" t="s">
        <v>92</v>
      </c>
      <c r="C30" s="6" t="s">
        <v>197</v>
      </c>
      <c r="D30" s="20" t="s">
        <v>8</v>
      </c>
      <c r="E30" s="7" t="s">
        <v>9</v>
      </c>
    </row>
    <row r="31" spans="1:5" ht="28.8">
      <c r="A31" s="8" t="s">
        <v>93</v>
      </c>
      <c r="B31" s="9" t="s">
        <v>94</v>
      </c>
      <c r="C31" s="9" t="s">
        <v>95</v>
      </c>
      <c r="D31" s="21" t="s">
        <v>8</v>
      </c>
      <c r="E31" s="10" t="s">
        <v>9</v>
      </c>
    </row>
    <row r="32" spans="1:5" ht="43.2">
      <c r="A32" s="11" t="s">
        <v>96</v>
      </c>
      <c r="B32" s="11" t="s">
        <v>97</v>
      </c>
      <c r="C32" s="11" t="s">
        <v>98</v>
      </c>
      <c r="D32" s="22" t="s">
        <v>8</v>
      </c>
      <c r="E32" s="11" t="s">
        <v>9</v>
      </c>
    </row>
    <row r="33" spans="1:5" ht="43.2">
      <c r="A33" s="6" t="s">
        <v>99</v>
      </c>
      <c r="B33" s="6" t="s">
        <v>100</v>
      </c>
      <c r="C33" s="6" t="s">
        <v>101</v>
      </c>
      <c r="D33" s="20" t="s">
        <v>8</v>
      </c>
      <c r="E33" s="6" t="s">
        <v>9</v>
      </c>
    </row>
    <row r="34" spans="1:5" ht="28.8">
      <c r="A34" s="6" t="s">
        <v>102</v>
      </c>
      <c r="B34" s="6" t="s">
        <v>103</v>
      </c>
      <c r="C34" s="6" t="s">
        <v>104</v>
      </c>
      <c r="D34" s="20" t="s">
        <v>19</v>
      </c>
      <c r="E34" s="6" t="s">
        <v>9</v>
      </c>
    </row>
    <row r="35" spans="1:5" ht="43.2">
      <c r="A35" s="6" t="s">
        <v>105</v>
      </c>
      <c r="B35" s="6" t="s">
        <v>106</v>
      </c>
      <c r="C35" s="6" t="s">
        <v>107</v>
      </c>
      <c r="D35" s="20" t="s">
        <v>19</v>
      </c>
      <c r="E35" s="6" t="s">
        <v>9</v>
      </c>
    </row>
    <row r="36" spans="1:5" ht="28.8">
      <c r="A36" s="6" t="s">
        <v>108</v>
      </c>
      <c r="B36" s="6" t="s">
        <v>109</v>
      </c>
      <c r="C36" s="6" t="s">
        <v>110</v>
      </c>
      <c r="D36" s="20" t="s">
        <v>19</v>
      </c>
      <c r="E36" s="6" t="s">
        <v>9</v>
      </c>
    </row>
    <row r="37" spans="1:5" ht="28.8">
      <c r="A37" s="6" t="s">
        <v>111</v>
      </c>
      <c r="B37" s="6" t="s">
        <v>112</v>
      </c>
      <c r="C37" s="6" t="s">
        <v>113</v>
      </c>
      <c r="D37" s="20" t="s">
        <v>19</v>
      </c>
      <c r="E37" s="6" t="s">
        <v>9</v>
      </c>
    </row>
  </sheetData>
  <dataValidations count="2">
    <dataValidation type="list" sqref="D2:D32" xr:uid="{00000000-0002-0000-0000-000000000000}">
      <formula1>"Alta,Media,Baja"</formula1>
    </dataValidation>
    <dataValidation type="list" sqref="E2:E32" xr:uid="{00000000-0002-0000-0000-000001000000}">
      <formula1>"Pendiente,En progreso,Completado,Descartado"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XFD1048576"/>
    </sheetView>
  </sheetViews>
  <sheetFormatPr baseColWidth="10" defaultColWidth="9" defaultRowHeight="14.4"/>
  <cols>
    <col min="1" max="1" width="12" style="4" customWidth="1"/>
    <col min="2" max="2" width="28" style="4" customWidth="1"/>
    <col min="3" max="3" width="70" style="4" customWidth="1"/>
    <col min="4" max="5" width="14" style="4" customWidth="1"/>
    <col min="6" max="16384" width="9" style="4"/>
  </cols>
  <sheetData>
    <row r="1" spans="1:5" ht="22.3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8.8">
      <c r="A2" s="5" t="s">
        <v>114</v>
      </c>
      <c r="B2" s="6" t="s">
        <v>115</v>
      </c>
      <c r="C2" s="6" t="s">
        <v>116</v>
      </c>
      <c r="D2" s="6" t="s">
        <v>8</v>
      </c>
      <c r="E2" s="7" t="s">
        <v>9</v>
      </c>
    </row>
    <row r="3" spans="1:5" ht="28.8">
      <c r="A3" s="5" t="s">
        <v>117</v>
      </c>
      <c r="B3" s="6" t="s">
        <v>118</v>
      </c>
      <c r="C3" s="6" t="s">
        <v>119</v>
      </c>
      <c r="D3" s="6" t="s">
        <v>8</v>
      </c>
      <c r="E3" s="7" t="s">
        <v>9</v>
      </c>
    </row>
    <row r="4" spans="1:5" ht="28.8">
      <c r="A4" s="5" t="s">
        <v>120</v>
      </c>
      <c r="B4" s="6" t="s">
        <v>121</v>
      </c>
      <c r="C4" s="6" t="s">
        <v>122</v>
      </c>
      <c r="D4" s="6" t="s">
        <v>8</v>
      </c>
      <c r="E4" s="7" t="s">
        <v>9</v>
      </c>
    </row>
    <row r="5" spans="1:5" ht="28.8">
      <c r="A5" s="5" t="s">
        <v>123</v>
      </c>
      <c r="B5" s="6" t="s">
        <v>124</v>
      </c>
      <c r="C5" s="6" t="s">
        <v>125</v>
      </c>
      <c r="D5" s="6" t="s">
        <v>8</v>
      </c>
      <c r="E5" s="7" t="s">
        <v>9</v>
      </c>
    </row>
    <row r="6" spans="1:5" ht="28.8">
      <c r="A6" s="5" t="s">
        <v>126</v>
      </c>
      <c r="B6" s="6" t="s">
        <v>127</v>
      </c>
      <c r="C6" s="6" t="s">
        <v>128</v>
      </c>
      <c r="D6" s="6" t="s">
        <v>8</v>
      </c>
      <c r="E6" s="7" t="s">
        <v>9</v>
      </c>
    </row>
    <row r="7" spans="1:5" ht="28.8">
      <c r="A7" s="5" t="s">
        <v>129</v>
      </c>
      <c r="B7" s="6" t="s">
        <v>130</v>
      </c>
      <c r="C7" s="6" t="s">
        <v>131</v>
      </c>
      <c r="D7" s="6" t="s">
        <v>8</v>
      </c>
      <c r="E7" s="7" t="s">
        <v>9</v>
      </c>
    </row>
    <row r="8" spans="1:5" ht="28.8">
      <c r="A8" s="5" t="s">
        <v>132</v>
      </c>
      <c r="B8" s="6" t="s">
        <v>133</v>
      </c>
      <c r="C8" s="6" t="s">
        <v>134</v>
      </c>
      <c r="D8" s="6" t="s">
        <v>19</v>
      </c>
      <c r="E8" s="7" t="s">
        <v>9</v>
      </c>
    </row>
    <row r="9" spans="1:5" ht="28.8">
      <c r="A9" s="5" t="s">
        <v>135</v>
      </c>
      <c r="B9" s="6" t="s">
        <v>136</v>
      </c>
      <c r="C9" s="6" t="s">
        <v>137</v>
      </c>
      <c r="D9" s="6" t="s">
        <v>19</v>
      </c>
      <c r="E9" s="7" t="s">
        <v>9</v>
      </c>
    </row>
    <row r="10" spans="1:5" ht="28.8">
      <c r="A10" s="5" t="s">
        <v>138</v>
      </c>
      <c r="B10" s="6" t="s">
        <v>139</v>
      </c>
      <c r="C10" s="6" t="s">
        <v>140</v>
      </c>
      <c r="D10" s="6" t="s">
        <v>8</v>
      </c>
      <c r="E10" s="7" t="s">
        <v>9</v>
      </c>
    </row>
    <row r="11" spans="1:5" ht="28.8">
      <c r="A11" s="5" t="s">
        <v>141</v>
      </c>
      <c r="B11" s="6" t="s">
        <v>142</v>
      </c>
      <c r="C11" s="6" t="s">
        <v>143</v>
      </c>
      <c r="D11" s="6" t="s">
        <v>8</v>
      </c>
      <c r="E11" s="7" t="s">
        <v>9</v>
      </c>
    </row>
    <row r="12" spans="1:5" ht="28.8">
      <c r="A12" s="5" t="s">
        <v>144</v>
      </c>
      <c r="B12" s="6" t="s">
        <v>145</v>
      </c>
      <c r="C12" s="6" t="s">
        <v>146</v>
      </c>
      <c r="D12" s="6" t="s">
        <v>19</v>
      </c>
      <c r="E12" s="7" t="s">
        <v>9</v>
      </c>
    </row>
    <row r="13" spans="1:5" ht="28.8">
      <c r="A13" s="5" t="s">
        <v>147</v>
      </c>
      <c r="B13" s="6" t="s">
        <v>148</v>
      </c>
      <c r="C13" s="6" t="s">
        <v>149</v>
      </c>
      <c r="D13" s="6" t="s">
        <v>8</v>
      </c>
      <c r="E13" s="7" t="s">
        <v>9</v>
      </c>
    </row>
    <row r="14" spans="1:5" ht="28.8">
      <c r="A14" s="5" t="s">
        <v>150</v>
      </c>
      <c r="B14" s="6" t="s">
        <v>151</v>
      </c>
      <c r="C14" s="6" t="s">
        <v>152</v>
      </c>
      <c r="D14" s="6" t="s">
        <v>19</v>
      </c>
      <c r="E14" s="7" t="s">
        <v>9</v>
      </c>
    </row>
    <row r="15" spans="1:5" ht="28.8">
      <c r="A15" s="5" t="s">
        <v>153</v>
      </c>
      <c r="B15" s="6" t="s">
        <v>154</v>
      </c>
      <c r="C15" s="6" t="s">
        <v>155</v>
      </c>
      <c r="D15" s="6" t="s">
        <v>19</v>
      </c>
      <c r="E15" s="7" t="s">
        <v>9</v>
      </c>
    </row>
    <row r="16" spans="1:5" ht="28.8">
      <c r="A16" s="5" t="s">
        <v>156</v>
      </c>
      <c r="B16" s="6" t="s">
        <v>157</v>
      </c>
      <c r="C16" s="6" t="s">
        <v>158</v>
      </c>
      <c r="D16" s="6" t="s">
        <v>19</v>
      </c>
      <c r="E16" s="7" t="s">
        <v>9</v>
      </c>
    </row>
    <row r="17" spans="1:5" ht="28.8">
      <c r="A17" s="5" t="s">
        <v>159</v>
      </c>
      <c r="B17" s="6" t="s">
        <v>160</v>
      </c>
      <c r="C17" s="6" t="s">
        <v>161</v>
      </c>
      <c r="D17" s="6" t="s">
        <v>8</v>
      </c>
      <c r="E17" s="7" t="s">
        <v>9</v>
      </c>
    </row>
    <row r="18" spans="1:5" ht="28.8">
      <c r="A18" s="5" t="s">
        <v>162</v>
      </c>
      <c r="B18" s="6" t="s">
        <v>163</v>
      </c>
      <c r="C18" s="6" t="s">
        <v>164</v>
      </c>
      <c r="D18" s="6" t="s">
        <v>8</v>
      </c>
      <c r="E18" s="7" t="s">
        <v>9</v>
      </c>
    </row>
    <row r="19" spans="1:5" ht="28.8">
      <c r="A19" s="5" t="s">
        <v>165</v>
      </c>
      <c r="B19" s="6" t="s">
        <v>166</v>
      </c>
      <c r="C19" s="6" t="s">
        <v>167</v>
      </c>
      <c r="D19" s="6" t="s">
        <v>8</v>
      </c>
      <c r="E19" s="7" t="s">
        <v>9</v>
      </c>
    </row>
    <row r="20" spans="1:5" ht="28.8">
      <c r="A20" s="5" t="s">
        <v>168</v>
      </c>
      <c r="B20" s="6" t="s">
        <v>169</v>
      </c>
      <c r="C20" s="6" t="s">
        <v>170</v>
      </c>
      <c r="D20" s="6" t="s">
        <v>8</v>
      </c>
      <c r="E20" s="7" t="s">
        <v>9</v>
      </c>
    </row>
    <row r="21" spans="1:5" ht="28.8">
      <c r="A21" s="5" t="s">
        <v>171</v>
      </c>
      <c r="B21" s="6" t="s">
        <v>172</v>
      </c>
      <c r="C21" s="6" t="s">
        <v>173</v>
      </c>
      <c r="D21" s="6" t="s">
        <v>19</v>
      </c>
      <c r="E21" s="7" t="s">
        <v>9</v>
      </c>
    </row>
    <row r="22" spans="1:5" ht="28.8">
      <c r="A22" s="5" t="s">
        <v>174</v>
      </c>
      <c r="B22" s="6" t="s">
        <v>175</v>
      </c>
      <c r="C22" s="6" t="s">
        <v>176</v>
      </c>
      <c r="D22" s="6" t="s">
        <v>8</v>
      </c>
      <c r="E22" s="7" t="s">
        <v>9</v>
      </c>
    </row>
    <row r="23" spans="1:5" ht="28.8">
      <c r="A23" s="5" t="s">
        <v>177</v>
      </c>
      <c r="B23" s="6" t="s">
        <v>178</v>
      </c>
      <c r="C23" s="6" t="s">
        <v>179</v>
      </c>
      <c r="D23" s="6" t="s">
        <v>8</v>
      </c>
      <c r="E23" s="7" t="s">
        <v>9</v>
      </c>
    </row>
    <row r="24" spans="1:5" ht="28.8">
      <c r="A24" s="5" t="s">
        <v>180</v>
      </c>
      <c r="B24" s="6" t="s">
        <v>181</v>
      </c>
      <c r="C24" s="6" t="s">
        <v>182</v>
      </c>
      <c r="D24" s="6" t="s">
        <v>8</v>
      </c>
      <c r="E24" s="7" t="s">
        <v>9</v>
      </c>
    </row>
    <row r="25" spans="1:5" ht="28.8">
      <c r="A25" s="5" t="s">
        <v>183</v>
      </c>
      <c r="B25" s="6" t="s">
        <v>184</v>
      </c>
      <c r="C25" s="6" t="s">
        <v>185</v>
      </c>
      <c r="D25" s="6" t="s">
        <v>8</v>
      </c>
      <c r="E25" s="7" t="s">
        <v>9</v>
      </c>
    </row>
    <row r="26" spans="1:5" ht="28.8">
      <c r="A26" s="8" t="s">
        <v>186</v>
      </c>
      <c r="B26" s="9" t="s">
        <v>187</v>
      </c>
      <c r="C26" s="9" t="s">
        <v>188</v>
      </c>
      <c r="D26" s="9" t="s">
        <v>19</v>
      </c>
      <c r="E26" s="10" t="s">
        <v>9</v>
      </c>
    </row>
  </sheetData>
  <dataValidations count="2">
    <dataValidation type="list" sqref="D2:D26" xr:uid="{00000000-0002-0000-0100-000000000000}">
      <formula1>"Alta,Media,Baja"</formula1>
    </dataValidation>
    <dataValidation type="list" sqref="E2:E26" xr:uid="{00000000-0002-0000-0100-000001000000}">
      <formula1>"Pendiente,En progreso,Completado,Descartado"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17" sqref="B17"/>
    </sheetView>
  </sheetViews>
  <sheetFormatPr baseColWidth="10" defaultColWidth="9" defaultRowHeight="14.4"/>
  <cols>
    <col min="1" max="1" width="72" style="4" customWidth="1"/>
    <col min="2" max="2" width="16" style="4" customWidth="1"/>
    <col min="3" max="16384" width="9" style="4"/>
  </cols>
  <sheetData>
    <row r="1" spans="1:4" ht="18">
      <c r="A1" s="18" t="s">
        <v>189</v>
      </c>
      <c r="B1" s="18"/>
      <c r="C1" s="18"/>
      <c r="D1" s="18"/>
    </row>
    <row r="3" spans="1:4">
      <c r="A3" s="12" t="s">
        <v>190</v>
      </c>
      <c r="B3" s="13" t="s">
        <v>191</v>
      </c>
    </row>
    <row r="4" spans="1:4">
      <c r="A4" s="14" t="s">
        <v>192</v>
      </c>
      <c r="B4" s="15">
        <f>COUNTA('Requerimientos Funcionales'!A2:A1000)</f>
        <v>36</v>
      </c>
    </row>
    <row r="5" spans="1:4">
      <c r="A5" s="14" t="s">
        <v>193</v>
      </c>
      <c r="B5" s="15">
        <f>COUNTA('Requerimientos No Funcionales'!A2:A1000)</f>
        <v>25</v>
      </c>
    </row>
    <row r="6" spans="1:4">
      <c r="A6" s="16" t="s">
        <v>194</v>
      </c>
      <c r="B6" s="17">
        <f>SUM(B4:B5)</f>
        <v>61</v>
      </c>
    </row>
    <row r="8" spans="1:4">
      <c r="A8" s="19" t="s">
        <v>195</v>
      </c>
      <c r="B8" s="19"/>
      <c r="C8" s="19"/>
      <c r="D8" s="19"/>
    </row>
    <row r="9" spans="1:4">
      <c r="A9" s="19"/>
      <c r="B9" s="19"/>
      <c r="C9" s="19"/>
      <c r="D9" s="19"/>
    </row>
    <row r="10" spans="1:4">
      <c r="A10" s="19"/>
      <c r="B10" s="19"/>
      <c r="C10" s="19"/>
      <c r="D10" s="19"/>
    </row>
  </sheetData>
  <mergeCells count="2">
    <mergeCell ref="A1:D1"/>
    <mergeCell ref="A8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 Funcionales</vt:lpstr>
      <vt:lpstr>Requerimientos No Funcionales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claudio torres</cp:lastModifiedBy>
  <dcterms:created xsi:type="dcterms:W3CDTF">2026-09-06T20:31:55Z</dcterms:created>
  <dcterms:modified xsi:type="dcterms:W3CDTF">2026-09-06T20:32:48Z</dcterms:modified>
</cp:coreProperties>
</file>