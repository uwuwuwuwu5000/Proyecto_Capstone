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ntornos y datos" sheetId="2" r:id="rId5"/>
    <sheet state="visible" name="Resumen" sheetId="3" r:id="rId6"/>
    <sheet state="visible" name="Casos de prueba" sheetId="4" r:id="rId7"/>
    <sheet state="visible" name="Regresión" sheetId="5" r:id="rId8"/>
    <sheet state="visible" name="Trazabilidad" sheetId="6" r:id="rId9"/>
  </sheets>
  <definedNames>
    <definedName hidden="1" localSheetId="3" name="_xlnm._FilterDatabase">'Casos de prueba'!$A$1:$M$254</definedName>
  </definedNames>
  <calcPr/>
  <extLst>
    <ext uri="GoogleSheetsCustomDataVersion2">
      <go:sheetsCustomData xmlns:go="http://customooxmlschemas.google.com/" r:id="rId10" roundtripDataChecksum="TGuXI/P/zzq3LPgLkM5PRlDhOYexs5/irL85+ZWVBzo="/>
    </ext>
  </extLst>
</workbook>
</file>

<file path=xl/sharedStrings.xml><?xml version="1.0" encoding="utf-8"?>
<sst xmlns="http://schemas.openxmlformats.org/spreadsheetml/2006/main" count="2267" uniqueCount="948">
  <si>
    <t>Plan de pruebas — Ciudad Alerta</t>
  </si>
  <si>
    <t>Prototipo funcional · Proyecto Capstone 2026-2 · Duoc UC</t>
  </si>
  <si>
    <t>Resumen de ejecución</t>
  </si>
  <si>
    <t>Cómo usar este libro</t>
  </si>
  <si>
    <t>Entornos de prueba</t>
  </si>
  <si>
    <t>Todas las celdas se calculan desde la hoja "Casos de prueba".</t>
  </si>
  <si>
    <t>1</t>
  </si>
  <si>
    <t>La hoja "Casos de prueba" contiene los 253 casos. Las columnas sombreadas en amarillo son las que se completan al ejecutar.</t>
  </si>
  <si>
    <t>Avance por prioridad</t>
  </si>
  <si>
    <t>2</t>
  </si>
  <si>
    <t>Registra el resultado eligiendo un valor de la lista desplegable: Aprobado, Fallido, Bloqueado o No ejecutado.</t>
  </si>
  <si>
    <t>3</t>
  </si>
  <si>
    <t>La hoja "Resumen" se actualiza sola con fórmulas; no requiere edición manual.</t>
  </si>
  <si>
    <t>Prioridad</t>
  </si>
  <si>
    <t>4</t>
  </si>
  <si>
    <t>La hoja "Regresión" define el recorrido mínimo antes de cada entrega.</t>
  </si>
  <si>
    <t>5</t>
  </si>
  <si>
    <t>Entorno</t>
  </si>
  <si>
    <t>La hoja "Trazabilidad" vincula cada historia de usuario con sus casos.</t>
  </si>
  <si>
    <t>Criterio de aceptación de la entrega</t>
  </si>
  <si>
    <t>Ningún caso de prioridad A puede quedar en estado Fallido.</t>
  </si>
  <si>
    <t>Total</t>
  </si>
  <si>
    <t>Descripción</t>
  </si>
  <si>
    <t>Aprobado</t>
  </si>
  <si>
    <t>Los casos B fallidos se registran como deuda conocida en el informe de avance.</t>
  </si>
  <si>
    <t>Fallido</t>
  </si>
  <si>
    <t>Bloqueado</t>
  </si>
  <si>
    <t>Los casos C fallidos quedan como observaciones para el informe final.</t>
  </si>
  <si>
    <t>E1</t>
  </si>
  <si>
    <t>Pendiente</t>
  </si>
  <si>
    <t>% avance</t>
  </si>
  <si>
    <t>Prioridades</t>
  </si>
  <si>
    <t>A</t>
  </si>
  <si>
    <t>Bloquea la entrega</t>
  </si>
  <si>
    <t>Navegador de escritorio con ionic serve (Chrome)</t>
  </si>
  <si>
    <t>B</t>
  </si>
  <si>
    <t>Afecta la experiencia de uso</t>
  </si>
  <si>
    <t>E2</t>
  </si>
  <si>
    <t>C</t>
  </si>
  <si>
    <t>Emulador Android, APK de depuración</t>
  </si>
  <si>
    <t>Mejora deseable</t>
  </si>
  <si>
    <t>E3</t>
  </si>
  <si>
    <t>ID</t>
  </si>
  <si>
    <t>Dispositivo físico Android, APK de depuración</t>
  </si>
  <si>
    <t>E4</t>
  </si>
  <si>
    <t>Tipos de prueba</t>
  </si>
  <si>
    <t>Consola de Firebase: Authentication, Firestore y Rules Playground</t>
  </si>
  <si>
    <t>F</t>
  </si>
  <si>
    <t>Funcional</t>
  </si>
  <si>
    <t>Cuentas de prueba</t>
  </si>
  <si>
    <t>S</t>
  </si>
  <si>
    <t>Módulo</t>
  </si>
  <si>
    <t>Seguridad</t>
  </si>
  <si>
    <t>Cuenta</t>
  </si>
  <si>
    <t>Precondición</t>
  </si>
  <si>
    <t>Correo</t>
  </si>
  <si>
    <t>I</t>
  </si>
  <si>
    <t>Pasos</t>
  </si>
  <si>
    <t>Integración</t>
  </si>
  <si>
    <t>Rol</t>
  </si>
  <si>
    <t>Resultado esperado</t>
  </si>
  <si>
    <t>Uso</t>
  </si>
  <si>
    <t>NF</t>
  </si>
  <si>
    <t>No funcional (rendimiento, robustez)</t>
  </si>
  <si>
    <t>U1</t>
  </si>
  <si>
    <t>Tipo</t>
  </si>
  <si>
    <t>ciudadano1@prueba.cl</t>
  </si>
  <si>
    <t>UX</t>
  </si>
  <si>
    <t>ciudadano</t>
  </si>
  <si>
    <t>Usabilidad y accesibilidad</t>
  </si>
  <si>
    <t>Autor de reportes</t>
  </si>
  <si>
    <t>U2</t>
  </si>
  <si>
    <t>ciudadano2@prueba.cl</t>
  </si>
  <si>
    <t>Confirmaciones comunitarias</t>
  </si>
  <si>
    <t>U3</t>
  </si>
  <si>
    <t>operador@prueba.cl</t>
  </si>
  <si>
    <t>operador</t>
  </si>
  <si>
    <t>Gestión de estados (HU-28)</t>
  </si>
  <si>
    <t>Fecha ejecución</t>
  </si>
  <si>
    <t>U4</t>
  </si>
  <si>
    <t>Responsable</t>
  </si>
  <si>
    <t>correo real del equipo</t>
  </si>
  <si>
    <t>Resultado</t>
  </si>
  <si>
    <t>Recuperación de contraseña (CA-75)</t>
  </si>
  <si>
    <t>Evidencia</t>
  </si>
  <si>
    <t>Defecto asociado</t>
  </si>
  <si>
    <t>Preparación previa</t>
  </si>
  <si>
    <t>1.</t>
  </si>
  <si>
    <t>Eliminar los reportes creados en sprints anteriores: los documentos sin los campos geohash y organismo quedan fuera de las consultas del mapa.</t>
  </si>
  <si>
    <t>2.</t>
  </si>
  <si>
    <t>Desplegar reglas e índices antes de comenzar: firebase deploy --only firestore:rules,firestore:indexes</t>
  </si>
  <si>
    <t>3.</t>
  </si>
  <si>
    <t>Asignar rol operador a U3 editando su documento en la colección users desde la consola.</t>
  </si>
  <si>
    <t>4.</t>
  </si>
  <si>
    <t>Verificar que el proveedor Correo/contraseña esté habilitado en Authentication.</t>
  </si>
  <si>
    <t>CP-REG-01</t>
  </si>
  <si>
    <t>Registro de usuario (CA-48)</t>
  </si>
  <si>
    <t>Sin sesión</t>
  </si>
  <si>
    <t>Registrar con correo nuevo y contraseña de 8 caracteres</t>
  </si>
  <si>
    <t>Cuenta creada, redirige a Inicio</t>
  </si>
  <si>
    <t>No ejecutado</t>
  </si>
  <si>
    <t>CP-REG-02</t>
  </si>
  <si>
    <t>CP-REG-01 ejecutado</t>
  </si>
  <si>
    <t>Revisar Authentication en consola</t>
  </si>
  <si>
    <t>El usuario aparece con su correo</t>
  </si>
  <si>
    <t>Esteban</t>
  </si>
  <si>
    <t>CP-REG-03</t>
  </si>
  <si>
    <t>Revisar `users/{uid}` en Firestore</t>
  </si>
  <si>
    <t>Documento con `trustLevel: 0`, `role: ciudadano`, `validatedReports: 0`</t>
  </si>
  <si>
    <t>CP-REG-04</t>
  </si>
  <si>
    <t>Registrar con correo ya existente</t>
  </si>
  <si>
    <t>Mensaje "Ese correo ya tiene una cuenta"</t>
  </si>
  <si>
    <t>CP-REG-05</t>
  </si>
  <si>
    <t>Escribir `correo@` y salir del campo</t>
  </si>
  <si>
    <t>Error de formato, botón deshabilitado</t>
  </si>
  <si>
    <t>CP-REG-06</t>
  </si>
  <si>
    <t>Escribir `correo sin arroba.cl`</t>
  </si>
  <si>
    <t>Error de formato</t>
  </si>
  <si>
    <t>CP-REG-07</t>
  </si>
  <si>
    <t>Contraseña de 5 caracteres</t>
  </si>
  <si>
    <t>Error de longitud mínima</t>
  </si>
  <si>
    <t>CP-REG-08</t>
  </si>
  <si>
    <t>Contraseñas que no coinciden</t>
  </si>
  <si>
    <t>Mensaje "Las contraseñas no coinciden"</t>
  </si>
  <si>
    <t>CP-REG-09</t>
  </si>
  <si>
    <t>Nombre para mostrar de 2 caracteres</t>
  </si>
  <si>
    <t>Error "Usa al menos 3 caracteres"</t>
  </si>
  <si>
    <t>CP-REG-10</t>
  </si>
  <si>
    <t>Dejar todos los campos vacíos y tocar el botón</t>
  </si>
  <si>
    <t>Botón deshabilitado, sin envío</t>
  </si>
  <si>
    <t>Recorrido de regresión antes de cada entrega</t>
  </si>
  <si>
    <t>Ejecutar en orden. Si alguno falla, la entrega se detiene.</t>
  </si>
  <si>
    <t>Orden</t>
  </si>
  <si>
    <t>Caso</t>
  </si>
  <si>
    <t>CP-REG-11</t>
  </si>
  <si>
    <t>Avance por tipo de prueba</t>
  </si>
  <si>
    <t>Correo con mayúsculas `Rodrigo@Prueba.CL`</t>
  </si>
  <si>
    <t>Se normaliza a minúsculas al guardar</t>
  </si>
  <si>
    <t>Observación</t>
  </si>
  <si>
    <t>Registrar una cuenta nueva</t>
  </si>
  <si>
    <t>CP-REG-12</t>
  </si>
  <si>
    <t>Correo con espacios al inicio y al final</t>
  </si>
  <si>
    <t>Se recorta y el registro funciona</t>
  </si>
  <si>
    <t>CP-LOG-01</t>
  </si>
  <si>
    <t>Iniciar sesión con credenciales válidas</t>
  </si>
  <si>
    <t>CP-REG-13</t>
  </si>
  <si>
    <t>CP-SES-01</t>
  </si>
  <si>
    <t>Verificar el bloqueo de rutas privadas</t>
  </si>
  <si>
    <t>Registrar sin nombre para mostrar (campo mínimo válido)</t>
  </si>
  <si>
    <t>CP-SES-06</t>
  </si>
  <si>
    <t>Persistencia de sesión tras cerrar la app</t>
  </si>
  <si>
    <t>CP-FOT-01</t>
  </si>
  <si>
    <t>Adjuntar fotografía desde la cámara</t>
  </si>
  <si>
    <t>CP-UBI-02</t>
  </si>
  <si>
    <t>Obtener la ubicación actual</t>
  </si>
  <si>
    <t>Se usa la parte previa a la arroba</t>
  </si>
  <si>
    <t>CP-DES-08</t>
  </si>
  <si>
    <t>Enviar un reporte completo</t>
  </si>
  <si>
    <t>CP-DUP-01</t>
  </si>
  <si>
    <t>Detectar una coincidencia cercana</t>
  </si>
  <si>
    <t>Trazabilidad de historias y tareas</t>
  </si>
  <si>
    <t>CP-REG-14</t>
  </si>
  <si>
    <t>La cobertura se calcula sobre la hoja "Casos de prueba".</t>
  </si>
  <si>
    <t>Modo avión</t>
  </si>
  <si>
    <t>Intentar registrar</t>
  </si>
  <si>
    <t>Mensaje de error de conexión, sin bloqueo de la app</t>
  </si>
  <si>
    <t>Historia o tarea</t>
  </si>
  <si>
    <t>Módulo del plan</t>
  </si>
  <si>
    <t>CP-CON-01</t>
  </si>
  <si>
    <t>Casos</t>
  </si>
  <si>
    <t>Confirmar un reporte de otro usuario</t>
  </si>
  <si>
    <t>Aprobados</t>
  </si>
  <si>
    <t>Cobertura</t>
  </si>
  <si>
    <t>CP-INC-01</t>
  </si>
  <si>
    <t>Ver el mapa de incidencias</t>
  </si>
  <si>
    <t>CP-REG-15</t>
  </si>
  <si>
    <t>Contraseña de 100 caracteres</t>
  </si>
  <si>
    <t>CA-45 / CA-78 · Configuración de Firebase</t>
  </si>
  <si>
    <t>Se acepta, el inicio de sesión posterior funciona</t>
  </si>
  <si>
    <t>CP-DET-03</t>
  </si>
  <si>
    <t>Abrir el detalle y cargar la fotografía</t>
  </si>
  <si>
    <t>CP-HIS-01</t>
  </si>
  <si>
    <t>Revisar el historial propio</t>
  </si>
  <si>
    <t>CP-EST-04</t>
  </si>
  <si>
    <t>Cambiar un estado con rol operador</t>
  </si>
  <si>
    <t>CP-SES-07</t>
  </si>
  <si>
    <t>Cerrar sesión</t>
  </si>
  <si>
    <t>CP-REG-16</t>
  </si>
  <si>
    <t>No funcional</t>
  </si>
  <si>
    <t>Nombre con emojis y tildes</t>
  </si>
  <si>
    <t>Se guarda y se muestra correctamente</t>
  </si>
  <si>
    <t>CP-REG-17</t>
  </si>
  <si>
    <t>Durante el registro</t>
  </si>
  <si>
    <t>Observar el indicador de carga</t>
  </si>
  <si>
    <t>Aparece y desaparece; no queda colgado</t>
  </si>
  <si>
    <t>CP-REG-18</t>
  </si>
  <si>
    <t>Proveedor deshabilitado en consola</t>
  </si>
  <si>
    <t>Mensaje sobre el proveedor no habilitado</t>
  </si>
  <si>
    <t>Avance por módulo</t>
  </si>
  <si>
    <t>Inicio de sesión (CA-49)</t>
  </si>
  <si>
    <t>U1 existe</t>
  </si>
  <si>
    <t>Ingresar credenciales correctas</t>
  </si>
  <si>
    <t>Entra a Inicio y muestra el correo</t>
  </si>
  <si>
    <t>CA-48 · Registro de usuario</t>
  </si>
  <si>
    <t>CP-LOG-02</t>
  </si>
  <si>
    <t>Contraseña incorrecta</t>
  </si>
  <si>
    <t>"Correo o contraseña incorrectos"</t>
  </si>
  <si>
    <t>CP-LOG-03</t>
  </si>
  <si>
    <t>Correo inexistente</t>
  </si>
  <si>
    <t>Mensaje de credenciales inválidas, sin revelar si el correo existe</t>
  </si>
  <si>
    <t>CA-49 · Inicio de sesión</t>
  </si>
  <si>
    <t>CP-LOG-04</t>
  </si>
  <si>
    <t>Campos vacíos</t>
  </si>
  <si>
    <t>Botón deshabilitado</t>
  </si>
  <si>
    <t>CP-LOG-05</t>
  </si>
  <si>
    <t>Correo mal formado</t>
  </si>
  <si>
    <t>Error de formato antes de enviar</t>
  </si>
  <si>
    <t>CP-LOG-06</t>
  </si>
  <si>
    <t>Seis intentos fallidos seguidos</t>
  </si>
  <si>
    <t>Mensaje de demasiados intentos</t>
  </si>
  <si>
    <t>CA-50 / CA-77 · Acceso y cierre de sesión</t>
  </si>
  <si>
    <t>Sesión y control de acceso (CA-50, CA-77)</t>
  </si>
  <si>
    <t>CP-LOG-07</t>
  </si>
  <si>
    <t>Intentar iniciar sesión</t>
  </si>
  <si>
    <t>Error de conexión controlado</t>
  </si>
  <si>
    <t>CP-LOG-08</t>
  </si>
  <si>
    <t>Alternar entre las pestañas Iniciar sesión y Crear cuenta</t>
  </si>
  <si>
    <t>Los formularios cambian y los errores se limpian</t>
  </si>
  <si>
    <t>CA-75 · Recuperación de contraseña</t>
  </si>
  <si>
    <t>CP-LOG-09</t>
  </si>
  <si>
    <t>Usar el botón de mostrar contraseña</t>
  </si>
  <si>
    <t>Alterna entre texto y puntos</t>
  </si>
  <si>
    <t>CP-LOG-10</t>
  </si>
  <si>
    <t>Usuario deshabilitado en consola</t>
  </si>
  <si>
    <t>Intentar entrar</t>
  </si>
  <si>
    <t>Mensaje de cuenta deshabilitada</t>
  </si>
  <si>
    <t>CA-79 · Reglas de seguridad</t>
  </si>
  <si>
    <t>Reglas de seguridad de Firestore (CA-79)</t>
  </si>
  <si>
    <t>CP-LOG-11</t>
  </si>
  <si>
    <t>Con sesión activa</t>
  </si>
  <si>
    <t>Navegar manualmente a `/login`</t>
  </si>
  <si>
    <t>Redirige a Inicio (guestGuard)</t>
  </si>
  <si>
    <t>CP-LOG-12</t>
  </si>
  <si>
    <t>Correo con mayúsculas</t>
  </si>
  <si>
    <t>Inicia sesión igual</t>
  </si>
  <si>
    <t>CA-51 · SDK de mapas</t>
  </si>
  <si>
    <t>Componente de mapa (CA-51)</t>
  </si>
  <si>
    <t>CP-REC-01</t>
  </si>
  <si>
    <t>U4 con correo real</t>
  </si>
  <si>
    <t>Abrir el diálogo y enviar</t>
  </si>
  <si>
    <t>Mensaje de envío y correo recibido</t>
  </si>
  <si>
    <t>CP-REC-02</t>
  </si>
  <si>
    <t>CP-REC-01 ejecutado</t>
  </si>
  <si>
    <t>Abrir el enlace y fijar contraseña nueva</t>
  </si>
  <si>
    <t>Permite iniciar sesión con la nueva</t>
  </si>
  <si>
    <t>CA-52 · Geolocalización</t>
  </si>
  <si>
    <t>Ubicación del reporte (CA-52)</t>
  </si>
  <si>
    <t>CP-REC-03</t>
  </si>
  <si>
    <t>CP-REC-02 ejecutado</t>
  </si>
  <si>
    <t>Intentar entrar con la contraseña antigua</t>
  </si>
  <si>
    <t>Falla con credenciales inválidas</t>
  </si>
  <si>
    <t>CP-REC-04</t>
  </si>
  <si>
    <t>Enviar con el campo vacío</t>
  </si>
  <si>
    <t>Aviso de correo inválido, el diálogo no se cierra</t>
  </si>
  <si>
    <t>HU · Evidencia fotográfica</t>
  </si>
  <si>
    <t>Fotografía del reporte</t>
  </si>
  <si>
    <t>CP-REC-05</t>
  </si>
  <si>
    <t>Enviar con `abc`</t>
  </si>
  <si>
    <t>Aviso de formato inválido</t>
  </si>
  <si>
    <t>HU · Descripción y validación inicial</t>
  </si>
  <si>
    <t>Descripción y creación del reporte</t>
  </si>
  <si>
    <t>CP-REC-06</t>
  </si>
  <si>
    <t>Correo no registrado</t>
  </si>
  <si>
    <t>No revela si existe o no</t>
  </si>
  <si>
    <t>CP-REC-07</t>
  </si>
  <si>
    <t>Correo escrito en el formulario</t>
  </si>
  <si>
    <t>Abrir el diálogo</t>
  </si>
  <si>
    <t>HU-20 · Detección de coincidencias</t>
  </si>
  <si>
    <t>Detección de coincidencias (HU-20)</t>
  </si>
  <si>
    <t>El campo llega precargado</t>
  </si>
  <si>
    <t>CP-REC-08</t>
  </si>
  <si>
    <t>Diálogo abierto</t>
  </si>
  <si>
    <t>Pulsar Cancelar</t>
  </si>
  <si>
    <t>Se cierra sin enviar nada</t>
  </si>
  <si>
    <t>HU-21/22 · Confirmación comunitaria</t>
  </si>
  <si>
    <t>Confirmación comunitaria (HU-21/22)</t>
  </si>
  <si>
    <t>CP-REC-09</t>
  </si>
  <si>
    <t>Enviar</t>
  </si>
  <si>
    <t>CP-REC-10</t>
  </si>
  <si>
    <t>Usar el mismo enlace dos veces</t>
  </si>
  <si>
    <t>El segundo uso es rechazado por Firebase</t>
  </si>
  <si>
    <t>HU-25 · Mapa de incidencias</t>
  </si>
  <si>
    <t>Mapa de incidencias y Cerca de mí (HU-25)</t>
  </si>
  <si>
    <t>Navegar a `/home` por URL</t>
  </si>
  <si>
    <t>Redirige a `/login`</t>
  </si>
  <si>
    <t>CP-SES-02</t>
  </si>
  <si>
    <t>HU-26 · Detalle de la incidencia</t>
  </si>
  <si>
    <t>Detalle de la incidencia (HU-26)</t>
  </si>
  <si>
    <t>Navegar a `/report-new` por URL</t>
  </si>
  <si>
    <t>CP-SES-03</t>
  </si>
  <si>
    <t>Navegar a `/map` por URL</t>
  </si>
  <si>
    <t>CP-SES-04</t>
  </si>
  <si>
    <t>HU-27 · Historial del usuario</t>
  </si>
  <si>
    <t>Navegar a `/report/abc123` por URL</t>
  </si>
  <si>
    <t>Historial del usuario (HU-27)</t>
  </si>
  <si>
    <t>CP-SES-05</t>
  </si>
  <si>
    <t>Con sesión</t>
  </si>
  <si>
    <t>Recargar la página</t>
  </si>
  <si>
    <t>Permanece autenticado</t>
  </si>
  <si>
    <t>Con sesión en E3</t>
  </si>
  <si>
    <t>Cerrar la app por completo y reabrirla</t>
  </si>
  <si>
    <t>Entra directo a Inicio</t>
  </si>
  <si>
    <t>HU-28 · Enrutamiento y estados</t>
  </si>
  <si>
    <t>Enrutamiento y estados (HU-28)</t>
  </si>
  <si>
    <t>Cerrar sesión y confirmar</t>
  </si>
  <si>
    <t>Vuelve a `/login`</t>
  </si>
  <si>
    <t>CP-SES-08</t>
  </si>
  <si>
    <t>CP-SES-07 ejecutado</t>
  </si>
  <si>
    <t>Usar el botón atrás del teléfono</t>
  </si>
  <si>
    <t>No regresa a Inicio</t>
  </si>
  <si>
    <t>Transversal · Dispositivo Android</t>
  </si>
  <si>
    <t>Comportamiento en dispositivo Android</t>
  </si>
  <si>
    <t>CP-SES-09</t>
  </si>
  <si>
    <t>Cerrar sesión y cancelar en el diálogo</t>
  </si>
  <si>
    <t>La sesión se mantiene</t>
  </si>
  <si>
    <t>CP-SES-10</t>
  </si>
  <si>
    <t>Eliminar el usuario desde la consola y operar</t>
  </si>
  <si>
    <t>Error controlado, sin caída</t>
  </si>
  <si>
    <t>Transversal · Accesibilidad</t>
  </si>
  <si>
    <t>Accesibilidad e interfaz</t>
  </si>
  <si>
    <t>CP-SES-11</t>
  </si>
  <si>
    <t>Navegar a una ruta inexistente</t>
  </si>
  <si>
    <t>Redirige según el wildcard, sin pantalla en blanco</t>
  </si>
  <si>
    <t>CP-SES-12</t>
  </si>
  <si>
    <t>Dejar la app en segundo plano 30 min y volver</t>
  </si>
  <si>
    <t>La sesión sigue activa</t>
  </si>
  <si>
    <t>CP-SEC-01</t>
  </si>
  <si>
    <t>Rules Playground abierto con las reglas desplegadas</t>
  </si>
  <si>
    <t>Lectura de `users/{otroUid}` autenticado como U1</t>
  </si>
  <si>
    <t>Denegada</t>
  </si>
  <si>
    <t>CP-SEC-02</t>
  </si>
  <si>
    <t>Lectura de `users/{propioUid}`</t>
  </si>
  <si>
    <t>Permitida</t>
  </si>
  <si>
    <t>CP-SEC-03</t>
  </si>
  <si>
    <t>Listado completo de `users`</t>
  </si>
  <si>
    <t>Denegado</t>
  </si>
  <si>
    <t>CP-SEC-04</t>
  </si>
  <si>
    <t>Lectura de cualquier documento sin autenticar</t>
  </si>
  <si>
    <t>CP-SEC-05</t>
  </si>
  <si>
    <t>Crear `users/{uid}` con `trustLevel: 5`</t>
  </si>
  <si>
    <t>CP-SEC-06</t>
  </si>
  <si>
    <t>Crear `users/{uid}` con `role: admin`</t>
  </si>
  <si>
    <t>CP-SEC-07</t>
  </si>
  <si>
    <t>Actualizar el propio `trustLevel`</t>
  </si>
  <si>
    <t>CP-SEC-08</t>
  </si>
  <si>
    <t>Actualizar el propio `displayName`</t>
  </si>
  <si>
    <t>CP-SEC-09</t>
  </si>
  <si>
    <t>Eliminar el propio documento de usuario</t>
  </si>
  <si>
    <t>CP-SEC-10</t>
  </si>
  <si>
    <t>Crear reporte con `uid` de otro usuario</t>
  </si>
  <si>
    <t>CP-SEC-11</t>
  </si>
  <si>
    <t>Crear reporte con descripción de 5 caracteres</t>
  </si>
  <si>
    <t>CP-SEC-12</t>
  </si>
  <si>
    <t>Crear reporte con descripción de 600 caracteres</t>
  </si>
  <si>
    <t>CP-SEC-13</t>
  </si>
  <si>
    <t>Crear reporte con `estado: resuelto`</t>
  </si>
  <si>
    <t>Criterio de entrega</t>
  </si>
  <si>
    <t>Casos A fallidos</t>
  </si>
  <si>
    <t>CP-SEC-14</t>
  </si>
  <si>
    <t>Crear reporte con `confirmaciones: 99`</t>
  </si>
  <si>
    <t>Estado</t>
  </si>
  <si>
    <t>CP-SEC-15</t>
  </si>
  <si>
    <t>Crear reporte con categoría inventada</t>
  </si>
  <si>
    <t>CP-SEC-16</t>
  </si>
  <si>
    <t>Crear reporte con `lat: 200`</t>
  </si>
  <si>
    <t>CP-SEC-17</t>
  </si>
  <si>
    <t>Crear reporte sin `geohash`</t>
  </si>
  <si>
    <t>CP-SEC-18</t>
  </si>
  <si>
    <t>Crear reporte con `organismo.id` inexistente</t>
  </si>
  <si>
    <t>CP-SEC-19</t>
  </si>
  <si>
    <t>Actualizar la descripción de un reporte propio</t>
  </si>
  <si>
    <t>CP-SEC-20</t>
  </si>
  <si>
    <t>Eliminar un reporte propio</t>
  </si>
  <si>
    <t>CP-SEC-21</t>
  </si>
  <si>
    <t>Cambiar estado siendo `ciudadano`</t>
  </si>
  <si>
    <t>CP-SEC-22</t>
  </si>
  <si>
    <t>Cambiar estado siendo `operador` con transición válida</t>
  </si>
  <si>
    <t>CP-SEC-23</t>
  </si>
  <si>
    <t>Cambiar de `reportado` a `resuelto` siendo operador</t>
  </si>
  <si>
    <t>Denegada (transición inválida)</t>
  </si>
  <si>
    <t>CP-SEC-24</t>
  </si>
  <si>
    <t>Cambiar estado y descripción a la vez siendo operador</t>
  </si>
  <si>
    <t>CP-SEC-25</t>
  </si>
  <si>
    <t>Crear confirmación con `uid` ajeno</t>
  </si>
  <si>
    <t>CP-SEC-26</t>
  </si>
  <si>
    <t>Crear confirmación con `createdAt` manipulado</t>
  </si>
  <si>
    <t>CP-SEC-27</t>
  </si>
  <si>
    <t>Actualizar una confirmación existente</t>
  </si>
  <si>
    <t>CP-SEC-28</t>
  </si>
  <si>
    <t>Eliminar una confirmación</t>
  </si>
  <si>
    <t>CP-SEC-29</t>
  </si>
  <si>
    <t>Crear entrada en `statusHistory` siendo ciudadano</t>
  </si>
  <si>
    <t>CP-SEC-30</t>
  </si>
  <si>
    <t>Modificar una entrada de `statusHistory`</t>
  </si>
  <si>
    <t>CP-SEC-31</t>
  </si>
  <si>
    <t>Crear foto en `reportPhotos` con `ownerUid` ajeno</t>
  </si>
  <si>
    <t>CP-SEC-32</t>
  </si>
  <si>
    <t>Crear foto con `mimeType: application/pdf`</t>
  </si>
  <si>
    <t>CP-SEC-33</t>
  </si>
  <si>
    <t>Escribir en una colección no declarada</t>
  </si>
  <si>
    <t>E3, sesión activa</t>
  </si>
  <si>
    <t>Tomar fotografía con la cámara</t>
  </si>
  <si>
    <t>Se muestra la vista previa</t>
  </si>
  <si>
    <t>CP-FOT-02</t>
  </si>
  <si>
    <t>Elegir imagen de la galería</t>
  </si>
  <si>
    <t>CP-FOT-03</t>
  </si>
  <si>
    <t>CP-FOT-01 ejecutado</t>
  </si>
  <si>
    <t>Revisar el pie de la vista previa</t>
  </si>
  <si>
    <t>Muestra dimensiones y peso en KB</t>
  </si>
  <si>
    <t>CP-FOT-04</t>
  </si>
  <si>
    <t>Foto cargada</t>
  </si>
  <si>
    <t>Pulsar Cambiar</t>
  </si>
  <si>
    <t>Permite capturar otra y reemplaza la anterior</t>
  </si>
  <si>
    <t>CP-FOT-05</t>
  </si>
  <si>
    <t>Pulsar Quitar y confirmar</t>
  </si>
  <si>
    <t>La vista previa desaparece</t>
  </si>
  <si>
    <t>CP-FOT-06</t>
  </si>
  <si>
    <t>Pulsar Quitar y cancelar</t>
  </si>
  <si>
    <t>La fotografía se conserva</t>
  </si>
  <si>
    <t>CP-FOT-07</t>
  </si>
  <si>
    <t>Abrir la cámara y cancelar</t>
  </si>
  <si>
    <t>Vuelve al formulario sin mensaje de error</t>
  </si>
  <si>
    <t>CP-FOT-08</t>
  </si>
  <si>
    <t>Seleccionar un archivo PDF</t>
  </si>
  <si>
    <t>Mensaje "El archivo debe ser una imagen JPG, PNG o WEBP"</t>
  </si>
  <si>
    <t>CP-FOT-09</t>
  </si>
  <si>
    <t>Seleccionar un archivo de texto renombrado a `.jpg`</t>
  </si>
  <si>
    <t>Se rechaza al no poder decodificarse</t>
  </si>
  <si>
    <t>CP-FOT-10</t>
  </si>
  <si>
    <t>Fotografía de 12 MP</t>
  </si>
  <si>
    <t>Se comprime por debajo de 200 KB</t>
  </si>
  <si>
    <t>CP-FOT-11</t>
  </si>
  <si>
    <t>CP-FOT-10 ejecutado</t>
  </si>
  <si>
    <t>Verificar el lado mayor</t>
  </si>
  <si>
    <t>No supera 1024 px</t>
  </si>
  <si>
    <t>CP-FOT-12</t>
  </si>
  <si>
    <t>E3, permiso denegado</t>
  </si>
  <si>
    <t>Intentar tomar fotografía</t>
  </si>
  <si>
    <t>Mensaje que indica activar el permiso en ajustes</t>
  </si>
  <si>
    <t>CP-FOT-13</t>
  </si>
  <si>
    <t>Reporte enviado con foto</t>
  </si>
  <si>
    <t>Revisar `reportPhotos/{reportId}`</t>
  </si>
  <si>
    <t>Documento con `dataUrl`, `mimeType` y `ownerUid`</t>
  </si>
  <si>
    <t>CP-FOT-14</t>
  </si>
  <si>
    <t>Revisar el campo `foto` del reporte</t>
  </si>
  <si>
    <t>Contiene `kind`, `path`, `mimeType` y `sizeBytes`</t>
  </si>
  <si>
    <t>CP-FOT-15</t>
  </si>
  <si>
    <t>Reporte enviado sin foto</t>
  </si>
  <si>
    <t>Revisar el documento</t>
  </si>
  <si>
    <t>`foto` es `null` y el reporte es válido</t>
  </si>
  <si>
    <t>CP-FOT-16</t>
  </si>
  <si>
    <t>Tomar la foto en horizontal</t>
  </si>
  <si>
    <t>Se muestra con la orientación correcta</t>
  </si>
  <si>
    <t>CP-FOT-17</t>
  </si>
  <si>
    <t>E3, almacenamiento lleno</t>
  </si>
  <si>
    <t>Intentar capturar</t>
  </si>
  <si>
    <t>CP-FOT-18</t>
  </si>
  <si>
    <t>Imagen PNG con transparencia</t>
  </si>
  <si>
    <t>Adjuntarla</t>
  </si>
  <si>
    <t>Se convierte a JPEG y se acepta</t>
  </si>
  <si>
    <t>CP-UBI-01</t>
  </si>
  <si>
    <t>E3, primera vez</t>
  </si>
  <si>
    <t>Pulsar "Usar mi ubicación actual"</t>
  </si>
  <si>
    <t>Aparece el diálogo de permiso del sistema</t>
  </si>
  <si>
    <t>CP-UBI-01, aceptar</t>
  </si>
  <si>
    <t>Esperar</t>
  </si>
  <si>
    <t>Muestra coordenadas, precisión y mapa</t>
  </si>
  <si>
    <t>CP-UBI-03</t>
  </si>
  <si>
    <t>CP-UBI-01, rechazar</t>
  </si>
  <si>
    <t>Observar</t>
  </si>
  <si>
    <t>Mensaje comprensible, la app no se cierra</t>
  </si>
  <si>
    <t>CP-UBI-04</t>
  </si>
  <si>
    <t>Permiso denegado antes</t>
  </si>
  <si>
    <t>Pulsar de nuevo</t>
  </si>
  <si>
    <t>Mensaje que indica cómo activarlo en ajustes</t>
  </si>
  <si>
    <t>CP-UBI-05</t>
  </si>
  <si>
    <t>E3, GPS apagado</t>
  </si>
  <si>
    <t>Pulsar el botón</t>
  </si>
  <si>
    <t>Mensaje de servicio no disponible</t>
  </si>
  <si>
    <t>CP-UBI-06</t>
  </si>
  <si>
    <t>E3, interior sin señal</t>
  </si>
  <si>
    <t>Esperar 15 segundos</t>
  </si>
  <si>
    <t>Mensaje de tiempo agotado</t>
  </si>
  <si>
    <t>CP-UBI-07</t>
  </si>
  <si>
    <t>Ubicación obtenida</t>
  </si>
  <si>
    <t>Pulsar "Actualizar ubicación"</t>
  </si>
  <si>
    <t>Recalcula y actualiza el mapa</t>
  </si>
  <si>
    <t>CP-UBI-08</t>
  </si>
  <si>
    <t>Sesión recién iniciada</t>
  </si>
  <si>
    <t>Abrir la app sin ir a reportar</t>
  </si>
  <si>
    <t>No se solicita el permiso de ubicación</t>
  </si>
  <si>
    <t>CP-UBI-09</t>
  </si>
  <si>
    <t>Reporte enviado</t>
  </si>
  <si>
    <t>Revisar Firestore</t>
  </si>
  <si>
    <t>`ubicacion` con `lat`, `lng` y `accuracy` numéricos</t>
  </si>
  <si>
    <t>CP-UBI-10</t>
  </si>
  <si>
    <t>El campo `geohash` existe y no está vacío</t>
  </si>
  <si>
    <t>CP-UBI-11</t>
  </si>
  <si>
    <t>E2 con ubicación simulada</t>
  </si>
  <si>
    <t>Cambiarla en el emulador y reintentar</t>
  </si>
  <si>
    <t>Las coordenadas cambian acordes</t>
  </si>
  <si>
    <t>CP-UBI-12</t>
  </si>
  <si>
    <t>Sin ubicación registrada</t>
  </si>
  <si>
    <t>Intentar enviar el reporte</t>
  </si>
  <si>
    <t>El botón permanece deshabilitado</t>
  </si>
  <si>
    <t>CP-DES-01</t>
  </si>
  <si>
    <t>Formulario abierto</t>
  </si>
  <si>
    <t>Escribir 9 caracteres</t>
  </si>
  <si>
    <t>CP-DES-02</t>
  </si>
  <si>
    <t>Escribir exactamente 10 caracteres</t>
  </si>
  <si>
    <t>Se acepta</t>
  </si>
  <si>
    <t>CP-DES-03</t>
  </si>
  <si>
    <t>Intentar escribir 501 caracteres</t>
  </si>
  <si>
    <t>El campo corta en 500</t>
  </si>
  <si>
    <t>CP-DES-04</t>
  </si>
  <si>
    <t>Observar el contador</t>
  </si>
  <si>
    <t>Refleja los caracteres usados</t>
  </si>
  <si>
    <t>CP-DES-05</t>
  </si>
  <si>
    <t>Escribir solo espacios</t>
  </si>
  <si>
    <t>Se rechaza al recortarse</t>
  </si>
  <si>
    <t>CP-DES-06</t>
  </si>
  <si>
    <t>Escribir con tildes, ñ y emojis</t>
  </si>
  <si>
    <t>Se guarda y se muestra idéntico</t>
  </si>
  <si>
    <t>CP-DES-07</t>
  </si>
  <si>
    <t>Escribir un salto de línea</t>
  </si>
  <si>
    <t>Se conserva en el detalle</t>
  </si>
  <si>
    <t>Formulario completo</t>
  </si>
  <si>
    <t>Mensaje de éxito y vuelta a Inicio</t>
  </si>
  <si>
    <t>CP-DES-09</t>
  </si>
  <si>
    <t>CP-DES-08 ejecutado</t>
  </si>
  <si>
    <t>Campo `descripcion` con el texto exacto</t>
  </si>
  <si>
    <t>CP-DES-10</t>
  </si>
  <si>
    <t>`estado: reportado`, `confirmaciones: 0`</t>
  </si>
  <si>
    <t>CP-DES-11</t>
  </si>
  <si>
    <t>Volver a abrir el formulario</t>
  </si>
  <si>
    <t>Los campos están limpios</t>
  </si>
  <si>
    <t>CP-DES-12</t>
  </si>
  <si>
    <t>Enviar el reporte</t>
  </si>
  <si>
    <t>Error de conexión, sin documento creado</t>
  </si>
  <si>
    <t>CP-DES-13</t>
  </si>
  <si>
    <t>Con foto, modo avión</t>
  </si>
  <si>
    <t>No queda fotografía huérfana en `reportPhotos`</t>
  </si>
  <si>
    <t>CP-DES-14</t>
  </si>
  <si>
    <t>Cambiar la categoría varias veces</t>
  </si>
  <si>
    <t>El valor se refleja al guardar</t>
  </si>
  <si>
    <t>CP-DES-15</t>
  </si>
  <si>
    <t>Envío en curso</t>
  </si>
  <si>
    <t>Pulsar Enviar repetidamente</t>
  </si>
  <si>
    <t>El indicador bloquea; se crea un solo reporte</t>
  </si>
  <si>
    <t>CP-DES-16</t>
  </si>
  <si>
    <t>Sesión expirada</t>
  </si>
  <si>
    <t>Mensaje sobre volver a iniciar sesión</t>
  </si>
  <si>
    <t>CP-DES-17</t>
  </si>
  <si>
    <t>Revisar el campo `organismo`</t>
  </si>
  <si>
    <t>Corresponde a la categoría elegida</t>
  </si>
  <si>
    <t>CP-DES-18</t>
  </si>
  <si>
    <t>Categoría Fuga de agua</t>
  </si>
  <si>
    <t>Enviar y revisar</t>
  </si>
  <si>
    <t>Organismo tipo `empresa_sanitaria`</t>
  </si>
  <si>
    <t>CP-DES-19</t>
  </si>
  <si>
    <t>Categoría Luminaria</t>
  </si>
  <si>
    <t>Organismo tipo `empresa_electrica`</t>
  </si>
  <si>
    <t>CP-DES-20</t>
  </si>
  <si>
    <t>Categoría Otro</t>
  </si>
  <si>
    <t>Organismo OIRS Municipal</t>
  </si>
  <si>
    <t>CP-MAP-01</t>
  </si>
  <si>
    <t>Observar el mapa</t>
  </si>
  <si>
    <t>Se dibuja completo, sin mosaico descolocado</t>
  </si>
  <si>
    <t>CP-MAP-02</t>
  </si>
  <si>
    <t>Mapa visible</t>
  </si>
  <si>
    <t>Buscar la atribución</t>
  </si>
  <si>
    <t>Aparece el crédito a OpenStreetMap</t>
  </si>
  <si>
    <t>CP-MAP-03</t>
  </si>
  <si>
    <t>Verificar el marcador</t>
  </si>
  <si>
    <t>Cae en las coordenadas indicadas</t>
  </si>
  <si>
    <t>CP-MAP-04</t>
  </si>
  <si>
    <t>Abrir una pantalla con mapa</t>
  </si>
  <si>
    <t>Mensaje de fallo con las coordenadas y botón Reintentar</t>
  </si>
  <si>
    <t>CP-MAP-05</t>
  </si>
  <si>
    <t>CP-MAP-04 ejecutado</t>
  </si>
  <si>
    <t>Restaurar red y pulsar Reintentar</t>
  </si>
  <si>
    <t>El mapa carga correctamente</t>
  </si>
  <si>
    <t>CP-MAP-06</t>
  </si>
  <si>
    <t>Detalle de incidencia</t>
  </si>
  <si>
    <t>Abrir la pantalla</t>
  </si>
  <si>
    <t>El mapa se dibuja aunque el contenedor nazca con altura cero</t>
  </si>
  <si>
    <t>CP-MAP-07</t>
  </si>
  <si>
    <t>Mapa en vista previa</t>
  </si>
  <si>
    <t>Intentar arrastrarlo</t>
  </si>
  <si>
    <t>No se mueve (modo no interactivo)</t>
  </si>
  <si>
    <t>CP-MAP-08</t>
  </si>
  <si>
    <t>Mapa de incidencias</t>
  </si>
  <si>
    <t>Arrastrar y hacer zoom</t>
  </si>
  <si>
    <t>Responde con normalidad</t>
  </si>
  <si>
    <t>CP-MAP-09</t>
  </si>
  <si>
    <t>Página Cerca de mí</t>
  </si>
  <si>
    <t>Observar el círculo</t>
  </si>
  <si>
    <t>Coincide con el radio seleccionado</t>
  </si>
  <si>
    <t>CP-MAP-10</t>
  </si>
  <si>
    <t>Navegar entre pantallas con mapa</t>
  </si>
  <si>
    <t>Repetir diez veces</t>
  </si>
  <si>
    <t>Sin fugas de memoria ni mapas duplicados</t>
  </si>
  <si>
    <t>CP-MAP-11</t>
  </si>
  <si>
    <t>Conexión muy lenta</t>
  </si>
  <si>
    <t>Abrir el mapa</t>
  </si>
  <si>
    <t>Muestra el estado de carga y no queda en blanco</t>
  </si>
  <si>
    <t>CP-MAP-12</t>
  </si>
  <si>
    <t>Mapa con marcadores</t>
  </si>
  <si>
    <t>Tocar un marcador</t>
  </si>
  <si>
    <t>Abre el detalle correspondiente</t>
  </si>
  <si>
    <t>Un reporte reciente cerca, misma categoría</t>
  </si>
  <si>
    <t>Obtener ubicación en un reporte nuevo</t>
  </si>
  <si>
    <t>Aparece la tarjeta de coincidencia</t>
  </si>
  <si>
    <t>CP-DUP-02</t>
  </si>
  <si>
    <t>Revisar los motivos</t>
  </si>
  <si>
    <t>Indican distancia y antigüedad</t>
  </si>
  <si>
    <t>CP-DUP-03</t>
  </si>
  <si>
    <t>Cambiar a otra categoría</t>
  </si>
  <si>
    <t>La coincidencia desaparece</t>
  </si>
  <si>
    <t>CP-DUP-04</t>
  </si>
  <si>
    <t>Reporte a más de 150 m</t>
  </si>
  <si>
    <t>Repetir</t>
  </si>
  <si>
    <t>No se propone</t>
  </si>
  <si>
    <t>CP-DUP-05</t>
  </si>
  <si>
    <t>Reporte de hace más de 72 h</t>
  </si>
  <si>
    <t>CP-DUP-06</t>
  </si>
  <si>
    <t>Reporte marcado `resuelto`</t>
  </si>
  <si>
    <t>CP-DUP-07</t>
  </si>
  <si>
    <t>Reporte marcado `cerrado`</t>
  </si>
  <si>
    <t>CP-DUP-08</t>
  </si>
  <si>
    <t>Zona sin reportes</t>
  </si>
  <si>
    <t>Obtener ubicación</t>
  </si>
  <si>
    <t>No aparece nada y la consola queda limpia</t>
  </si>
  <si>
    <t>CP-DUP-09</t>
  </si>
  <si>
    <t>Coincidencia visible</t>
  </si>
  <si>
    <t>Observar el botón de envío</t>
  </si>
  <si>
    <t>Sigue habilitado</t>
  </si>
  <si>
    <t>CP-DUP-10</t>
  </si>
  <si>
    <t>Enviar el reporte igualmente</t>
  </si>
  <si>
    <t>Se crea sin restricciones</t>
  </si>
  <si>
    <t>CP-DUP-11</t>
  </si>
  <si>
    <t>Cuatro reportes cercanos</t>
  </si>
  <si>
    <t>Se muestran como máximo tres</t>
  </si>
  <si>
    <t>CP-DUP-12</t>
  </si>
  <si>
    <t>Varias coincidencias</t>
  </si>
  <si>
    <t>Revisar el orden</t>
  </si>
  <si>
    <t>De mayor a menor puntaje</t>
  </si>
  <si>
    <t>CP-DUP-13</t>
  </si>
  <si>
    <t>Foto muy similar a la del reporte previo</t>
  </si>
  <si>
    <t>Comparar el puntaje</t>
  </si>
  <si>
    <t>Superior al del mismo caso sin foto</t>
  </si>
  <si>
    <t>CP-DUP-14</t>
  </si>
  <si>
    <t>Modo avión al tomar la foto</t>
  </si>
  <si>
    <t>Continuar</t>
  </si>
  <si>
    <t>El modelo no carga y la detección sigue por ubicación</t>
  </si>
  <si>
    <t>CP-DUP-15</t>
  </si>
  <si>
    <t>Reporte previo sin foto</t>
  </si>
  <si>
    <t>Detectar</t>
  </si>
  <si>
    <t>Se propone igual, con puntaje redistribuido</t>
  </si>
  <si>
    <t>CP-DUP-16</t>
  </si>
  <si>
    <t>Revisar `embedding` en Firestore</t>
  </si>
  <si>
    <t>Arreglo numérico presente</t>
  </si>
  <si>
    <t>CP-DUP-17</t>
  </si>
  <si>
    <t>Primera detección de la sesión</t>
  </si>
  <si>
    <t>Medir el tiempo</t>
  </si>
  <si>
    <t>El modelo carga y responde en un plazo tolerable</t>
  </si>
  <si>
    <t>CP-DUP-18</t>
  </si>
  <si>
    <t>Segunda detección</t>
  </si>
  <si>
    <t>Notablemente más rápida (modelo en caché)</t>
  </si>
  <si>
    <t>U2, reporte de U1</t>
  </si>
  <si>
    <t>Confirmar desde el detalle</t>
  </si>
  <si>
    <t>Mensaje de confirmación registrada</t>
  </si>
  <si>
    <t>CP-CON-02</t>
  </si>
  <si>
    <t>Documento en `confirmations/{uidU2}`</t>
  </si>
  <si>
    <t>CP-CON-03</t>
  </si>
  <si>
    <t>Contiene `uid`, `reportId` y `createdAt`</t>
  </si>
  <si>
    <t>CP-CON-04</t>
  </si>
  <si>
    <t>Intentar confirmar otra vez</t>
  </si>
  <si>
    <t>Mensaje "Ya confirmaste este reporte"</t>
  </si>
  <si>
    <t>CP-CON-05</t>
  </si>
  <si>
    <t>Recargar el detalle</t>
  </si>
  <si>
    <t>Se muestra la condición de ya confirmado</t>
  </si>
  <si>
    <t>CP-CON-06</t>
  </si>
  <si>
    <t>U1 en su propio reporte</t>
  </si>
  <si>
    <t>Abrir el detalle</t>
  </si>
  <si>
    <t>Mensaje que impide autoconfirmarse</t>
  </si>
  <si>
    <t>CP-CON-07</t>
  </si>
  <si>
    <t>Revisar el contador</t>
  </si>
  <si>
    <t>Aumenta en uno</t>
  </si>
  <si>
    <t>CP-CON-08</t>
  </si>
  <si>
    <t>Tres usuarios confirman</t>
  </si>
  <si>
    <t>Muestra tres</t>
  </si>
  <si>
    <t>CP-CON-09</t>
  </si>
  <si>
    <t>Confirmar</t>
  </si>
  <si>
    <t>Mensaje de error de conexión</t>
  </si>
  <si>
    <t>CP-CON-10</t>
  </si>
  <si>
    <t>Desde la tarjeta de coincidencia</t>
  </si>
  <si>
    <t>Se registra y vuelve a Inicio</t>
  </si>
  <si>
    <t>CP-CON-11</t>
  </si>
  <si>
    <t>Sin sesión, vía consola</t>
  </si>
  <si>
    <t>Intentar crear confirmación</t>
  </si>
  <si>
    <t>Rechazada por las reglas</t>
  </si>
  <si>
    <t>CP-CON-12</t>
  </si>
  <si>
    <t>Confirmación existente</t>
  </si>
  <si>
    <t>Intentar modificarla desde la consola</t>
  </si>
  <si>
    <t>Rechazada</t>
  </si>
  <si>
    <t>Varios reportes en el sector</t>
  </si>
  <si>
    <t>Aparecen los marcadores</t>
  </si>
  <si>
    <t>CP-INC-02</t>
  </si>
  <si>
    <t>Reportes en distintos estados</t>
  </si>
  <si>
    <t>Observar los colores</t>
  </si>
  <si>
    <t>Se distinguen entre sí</t>
  </si>
  <si>
    <t>CP-INC-03</t>
  </si>
  <si>
    <t>Mapa abierto</t>
  </si>
  <si>
    <t>Filtrar por una categoría</t>
  </si>
  <si>
    <t>Solo quedan los de esa categoría</t>
  </si>
  <si>
    <t>CP-INC-04</t>
  </si>
  <si>
    <t>Filtrar por estado</t>
  </si>
  <si>
    <t>Solo quedan los de ese estado</t>
  </si>
  <si>
    <t>CP-INC-05</t>
  </si>
  <si>
    <t>Combinar ambos filtros</t>
  </si>
  <si>
    <t>Se aplican los dos</t>
  </si>
  <si>
    <t>CP-INC-06</t>
  </si>
  <si>
    <t>Filtros sin resultados</t>
  </si>
  <si>
    <t>Mensaje explicativo, sin error</t>
  </si>
  <si>
    <t>CP-INC-07</t>
  </si>
  <si>
    <t>Volver a Todas</t>
  </si>
  <si>
    <t>Reaparecen todos los marcadores</t>
  </si>
  <si>
    <t>CP-INC-08</t>
  </si>
  <si>
    <t>Pulsar el botón de retroceso</t>
  </si>
  <si>
    <t>Vuelve a Inicio</t>
  </si>
  <si>
    <t>CP-INC-09</t>
  </si>
  <si>
    <t>Cerca de mí</t>
  </si>
  <si>
    <t>Seleccionar 500 m</t>
  </si>
  <si>
    <t>Solo reportes dentro de ese radio</t>
  </si>
  <si>
    <t>CP-INC-10</t>
  </si>
  <si>
    <t>Cambiar a 5 km</t>
  </si>
  <si>
    <t>Aparecen más resultados</t>
  </si>
  <si>
    <t>CP-INC-11</t>
  </si>
  <si>
    <t>De menor a mayor distancia</t>
  </si>
  <si>
    <t>CP-INC-12</t>
  </si>
  <si>
    <t>Revisar las distancias</t>
  </si>
  <si>
    <t>En metros bajo 1 km y en km sobre ese valor</t>
  </si>
  <si>
    <t>CP-INC-13</t>
  </si>
  <si>
    <t>Cerca de mí, radio 500 m sin datos</t>
  </si>
  <si>
    <t>Sugiere ampliar el radio</t>
  </si>
  <si>
    <t>CP-INC-14</t>
  </si>
  <si>
    <t>Tocar una tarjeta</t>
  </si>
  <si>
    <t>Abre el detalle correcto</t>
  </si>
  <si>
    <t>CP-INC-15</t>
  </si>
  <si>
    <t>Reporte antiguo sin `geohash`</t>
  </si>
  <si>
    <t>No aparece (comportamiento esperado y documentado)</t>
  </si>
  <si>
    <t>CP-INC-16</t>
  </si>
  <si>
    <t>Cincuenta reportes en el sector</t>
  </si>
  <si>
    <t>Carga sin bloquear la interfaz</t>
  </si>
  <si>
    <t>CP-INC-17</t>
  </si>
  <si>
    <t>Revisar el tráfico de red</t>
  </si>
  <si>
    <t>No se descargan fotografías</t>
  </si>
  <si>
    <t>CP-INC-18</t>
  </si>
  <si>
    <t>Permiso de ubicación denegado</t>
  </si>
  <si>
    <t>Mensaje controlado, sin caída</t>
  </si>
  <si>
    <t>CP-DET-01</t>
  </si>
  <si>
    <t>Reporte con foto</t>
  </si>
  <si>
    <t>Muestra estado, fecha, descripción, categoría y responsable</t>
  </si>
  <si>
    <t>CP-DET-02</t>
  </si>
  <si>
    <t>Centrado en la ubicación del reporte</t>
  </si>
  <si>
    <t>Pulsar "Ver fotografía"</t>
  </si>
  <si>
    <t>Se carga y se muestra</t>
  </si>
  <si>
    <t>CP-DET-04</t>
  </si>
  <si>
    <t>Revisar el tráfico antes de pulsar</t>
  </si>
  <si>
    <t>La imagen no se descargó aún</t>
  </si>
  <si>
    <t>CP-DET-05</t>
  </si>
  <si>
    <t>Foto eliminada de Firestore</t>
  </si>
  <si>
    <t>Mensaje de no disponible; el resto funciona</t>
  </si>
  <si>
    <t>CP-DET-06</t>
  </si>
  <si>
    <t>Reporte sin foto</t>
  </si>
  <si>
    <t>Indica que se envió sin fotografía</t>
  </si>
  <si>
    <t>CP-DET-07</t>
  </si>
  <si>
    <t>Reporte antiguo sin `organismo`</t>
  </si>
  <si>
    <t>Muestra "Sin asignar", sin romper la vista</t>
  </si>
  <si>
    <t>CP-DET-08</t>
  </si>
  <si>
    <t>Id inexistente en la URL</t>
  </si>
  <si>
    <t>Abrir</t>
  </si>
  <si>
    <t>Mensaje de incidencia no encontrada</t>
  </si>
  <si>
    <t>CP-DET-09</t>
  </si>
  <si>
    <t>Detalle abierto</t>
  </si>
  <si>
    <t>Pulsar retroceso</t>
  </si>
  <si>
    <t>Vuelve a la pantalla anterior</t>
  </si>
  <si>
    <t>CP-DET-10</t>
  </si>
  <si>
    <t>Reporte con confirmaciones</t>
  </si>
  <si>
    <t>El contador coincide con la subcolección</t>
  </si>
  <si>
    <t>CP-DET-11</t>
  </si>
  <si>
    <t>Reporte con historial</t>
  </si>
  <si>
    <t>Se muestra la sección Seguimiento</t>
  </si>
  <si>
    <t>CP-DET-12</t>
  </si>
  <si>
    <t>Descripción de 500 caracteres</t>
  </si>
  <si>
    <t>Se muestra completa y legible</t>
  </si>
  <si>
    <t>U1 con reportes</t>
  </si>
  <si>
    <t>Abrir Mis reportes</t>
  </si>
  <si>
    <t>Aparecen solo los suyos</t>
  </si>
  <si>
    <t>CP-HIS-02</t>
  </si>
  <si>
    <t>Del más reciente al más antiguo</t>
  </si>
  <si>
    <t>CP-HIS-03</t>
  </si>
  <si>
    <t>Revisar cada tarjeta</t>
  </si>
  <si>
    <t>Categoría, fecha, estado y confirmaciones</t>
  </si>
  <si>
    <t>CP-HIS-04</t>
  </si>
  <si>
    <t>Usuario sin reportes</t>
  </si>
  <si>
    <t>Estado vacío con acceso a crear el primero</t>
  </si>
  <si>
    <t>CP-HIS-05</t>
  </si>
  <si>
    <t>Doce reportes</t>
  </si>
  <si>
    <t>Se muestran diez y aparece "Ver anteriores"</t>
  </si>
  <si>
    <t>CP-HIS-06</t>
  </si>
  <si>
    <t>Pulsar "Ver anteriores"</t>
  </si>
  <si>
    <t>Se agregan los siguientes sin repetir</t>
  </si>
  <si>
    <t>CP-HIS-07</t>
  </si>
  <si>
    <t>Exactamente diez reportes</t>
  </si>
  <si>
    <t>No se ofrece paginación innecesaria</t>
  </si>
  <si>
    <t>CP-HIS-08</t>
  </si>
  <si>
    <t>CP-HIS-09</t>
  </si>
  <si>
    <t>U2 autenticado</t>
  </si>
  <si>
    <t>No ve los reportes de U1</t>
  </si>
  <si>
    <t>CP-HIS-10</t>
  </si>
  <si>
    <t>Índice no desplegado</t>
  </si>
  <si>
    <t>Error controlado con mensaje</t>
  </si>
  <si>
    <t>CP-HIS-11</t>
  </si>
  <si>
    <t>Crear un reporte y volver</t>
  </si>
  <si>
    <t>Aparece el recién creado</t>
  </si>
  <si>
    <t>CP-EST-01</t>
  </si>
  <si>
    <t>U3 con rol operador</t>
  </si>
  <si>
    <t>Abrir un detalle</t>
  </si>
  <si>
    <t>Aparece la sección Gestión</t>
  </si>
  <si>
    <t>CP-EST-02</t>
  </si>
  <si>
    <t>U1 ciudadano</t>
  </si>
  <si>
    <t>Abrir el mismo detalle</t>
  </si>
  <si>
    <t>No aparece la sección Gestión</t>
  </si>
  <si>
    <t>CP-EST-03</t>
  </si>
  <si>
    <t>U3, reporte en `reportado`</t>
  </si>
  <si>
    <t>Ver las opciones</t>
  </si>
  <si>
    <t>En revisión, Derivado y Cerrado</t>
  </si>
  <si>
    <t>Marcar En revisión con comentario</t>
  </si>
  <si>
    <t>Estado actualizado y registro en el historial</t>
  </si>
  <si>
    <t>CP-EST-05</t>
  </si>
  <si>
    <t>Revisar `statusHistory`</t>
  </si>
  <si>
    <t>Documento con `desde`, `hacia`, `autorUid` y fecha</t>
  </si>
  <si>
    <t>CP-EST-06</t>
  </si>
  <si>
    <t>U3, reporte en `en_revision`</t>
  </si>
  <si>
    <t>Derivado y Cerrado; no aparece Reportado</t>
  </si>
  <si>
    <t>CP-EST-07</t>
  </si>
  <si>
    <t>U3, reporte en `cerrado`</t>
  </si>
  <si>
    <t>Sin opciones de transición</t>
  </si>
  <si>
    <t>CP-EST-08</t>
  </si>
  <si>
    <t>Cambiar estado sin comentario</t>
  </si>
  <si>
    <t>Se acepta igual</t>
  </si>
  <si>
    <t>CP-EST-09</t>
  </si>
  <si>
    <t>U3, modo avión</t>
  </si>
  <si>
    <t>Cambiar estado</t>
  </si>
  <si>
    <t>Error controlado y estado sin cambios</t>
  </si>
  <si>
    <t>CP-EST-10</t>
  </si>
  <si>
    <t>Rol cambiado a ciudadano en consola</t>
  </si>
  <si>
    <t>Intentar cambiar estado</t>
  </si>
  <si>
    <t>Rechazo por reglas</t>
  </si>
  <si>
    <t>CP-EST-11</t>
  </si>
  <si>
    <t>Varios cambios sucesivos</t>
  </si>
  <si>
    <t>Revisar el historial</t>
  </si>
  <si>
    <t>Todos los movimientos en orden cronológico</t>
  </si>
  <si>
    <t>CP-EST-12</t>
  </si>
  <si>
    <t>Revisar el documento del reporte</t>
  </si>
  <si>
    <t>Solo cambiaron `estado` y `updatedAt`</t>
  </si>
  <si>
    <t>CP-EST-13</t>
  </si>
  <si>
    <t>Cancelar el diálogo de cambio</t>
  </si>
  <si>
    <t>No se modifica nada</t>
  </si>
  <si>
    <t>CP-AND-01</t>
  </si>
  <si>
    <t>APK instalado</t>
  </si>
  <si>
    <t>Abrir la app</t>
  </si>
  <si>
    <t>Carga sin pantalla en blanco</t>
  </si>
  <si>
    <t>CP-AND-02</t>
  </si>
  <si>
    <t>Revisar el manifiesto</t>
  </si>
  <si>
    <t>Permisos de Internet, ubicación y cámara declarados</t>
  </si>
  <si>
    <t>CP-AND-03</t>
  </si>
  <si>
    <t>Verificar el `applicationId`</t>
  </si>
  <si>
    <t>`cl.ciudadalerta.app`</t>
  </si>
  <si>
    <t>CP-AND-04</t>
  </si>
  <si>
    <t>Usar el botón atrás del sistema en cada pantalla</t>
  </si>
  <si>
    <t>Navega correctamente, sin salidas inesperadas</t>
  </si>
  <si>
    <t>CP-AND-05</t>
  </si>
  <si>
    <t>Rotar el dispositivo</t>
  </si>
  <si>
    <t>La interfaz se adapta</t>
  </si>
  <si>
    <t>CP-AND-06</t>
  </si>
  <si>
    <t>Abrir el teclado en los formularios</t>
  </si>
  <si>
    <t>No tapa los campos activos</t>
  </si>
  <si>
    <t>CP-AND-07</t>
  </si>
  <si>
    <t>Cortar la red durante un envío</t>
  </si>
  <si>
    <t>Mensaje controlado</t>
  </si>
  <si>
    <t>CP-AND-08</t>
  </si>
  <si>
    <t>Pasar a segundo plano durante la carga del modelo</t>
  </si>
  <si>
    <t>Al volver, sin bloqueo</t>
  </si>
  <si>
    <t>CP-AND-09</t>
  </si>
  <si>
    <t>Revisar `chrome://inspect` tras un recorrido completo</t>
  </si>
  <si>
    <t>Sin errores de JavaScript</t>
  </si>
  <si>
    <t>CP-AND-10</t>
  </si>
  <si>
    <t>Medir el tiempo de arranque en frío</t>
  </si>
  <si>
    <t>Dentro de lo aceptable para el piloto</t>
  </si>
  <si>
    <t>CP-AND-11</t>
  </si>
  <si>
    <t>E3 con batería baja</t>
  </si>
  <si>
    <t>Funciona o informa el modo de ahorro</t>
  </si>
  <si>
    <t>CP-AND-12</t>
  </si>
  <si>
    <t>Denegar todos los permisos</t>
  </si>
  <si>
    <t>La app sigue utilizable en lo que no los requiere</t>
  </si>
  <si>
    <t>CP-ACC-01</t>
  </si>
  <si>
    <t>Aplicación en ejecución con sesión activa</t>
  </si>
  <si>
    <t>Contraste del texto sobre el fondo</t>
  </si>
  <si>
    <t>Cumple el mínimo AA</t>
  </si>
  <si>
    <t>CP-ACC-02</t>
  </si>
  <si>
    <t>Contraste de los botones de acción</t>
  </si>
  <si>
    <t>CP-ACC-03</t>
  </si>
  <si>
    <t>Navegación por teclado en E1</t>
  </si>
  <si>
    <t>Todos los controles alcanzables</t>
  </si>
  <si>
    <t>CP-ACC-04</t>
  </si>
  <si>
    <t>Indicador de foco visible</t>
  </si>
  <si>
    <t>Presente en cada control</t>
  </si>
  <si>
    <t>CP-ACC-05</t>
  </si>
  <si>
    <t>Textos alternativos en imágenes</t>
  </si>
  <si>
    <t>Presentes y descriptivos</t>
  </si>
  <si>
    <t>CP-ACC-06</t>
  </si>
  <si>
    <t>Mensajes de error con `role="alert"`</t>
  </si>
  <si>
    <t>Anunciados por el lector de pantalla</t>
  </si>
  <si>
    <t>CP-ACC-07</t>
  </si>
  <si>
    <t>Tamaño de fuente del sistema al 130%</t>
  </si>
  <si>
    <t>La interfaz no se rompe</t>
  </si>
  <si>
    <t>CP-ACC-08</t>
  </si>
  <si>
    <t>Área táctil de los botones</t>
  </si>
  <si>
    <t>Suficiente para uso con el pulgar</t>
  </si>
  <si>
    <t>CP-ACC-09</t>
  </si>
  <si>
    <t>Información transmitida solo por color</t>
  </si>
  <si>
    <t>No existe; hay etiqueta de estado además del color</t>
  </si>
  <si>
    <t>CP-ACC-10</t>
  </si>
  <si>
    <t>Consistencia de la paleta</t>
  </si>
  <si>
    <t>Todas las pantallas usan las variables del 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</si>
</sst>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0.0%"/>
  </numFmts>
  <fonts count="7">
    <font>
      <sz val="11.0"/>
      <color theme="1"/>
      <name val="Calibri"/>
      <scheme val="minor"/>
    </font>
    <font>
      <b/>
      <sz val="16.0"/>
      <color rgb="FF111827"/>
      <name val="Arial"/>
    </font>
    <font>
      <sz val="10.0"/>
      <color rgb="FF5C677D"/>
      <name val="Arial"/>
    </font>
    <font>
      <sz val="10.0"/>
      <color rgb="FF111827"/>
      <name val="Arial"/>
    </font>
    <font>
      <b/>
      <sz val="10.0"/>
      <color rgb="FF111827"/>
      <name val="Arial"/>
    </font>
    <font>
      <b/>
      <sz val="10.0"/>
      <color rgb="FFF8FAF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1CA9C9"/>
        <bgColor rgb="FF1CA9C9"/>
      </patternFill>
    </fill>
    <fill>
      <patternFill patternType="solid">
        <fgColor rgb="FFEEF2F6"/>
        <bgColor rgb="FFEEF2F6"/>
      </patternFill>
    </fill>
    <fill>
      <patternFill patternType="solid">
        <fgColor rgb="FFFFF6D6"/>
        <bgColor rgb="FFFFF6D6"/>
      </patternFill>
    </fill>
  </fills>
  <borders count="2">
    <border/>
    <border>
      <left style="thin">
        <color rgb="FFD3DAE3"/>
      </left>
      <right style="thin">
        <color rgb="FFD3DAE3"/>
      </right>
      <top style="thin">
        <color rgb="FFD3DAE3"/>
      </top>
      <bottom style="thin">
        <color rgb="FFD3DAE3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4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horizontal="center" shrinkToFit="0" vertical="top" wrapText="0"/>
    </xf>
    <xf borderId="1" fillId="5" fontId="3" numFmtId="0" xfId="0" applyAlignment="1" applyBorder="1" applyFill="1" applyFont="1">
      <alignment shrinkToFit="0" vertical="top" wrapText="1"/>
    </xf>
    <xf borderId="1" fillId="5" fontId="3" numFmtId="164" xfId="0" applyAlignment="1" applyBorder="1" applyFill="1" applyFont="1" applyNumberFormat="1">
      <alignment shrinkToFit="0" vertical="top" wrapText="1"/>
    </xf>
    <xf borderId="1" fillId="0" fontId="3" numFmtId="0" xfId="0" applyAlignment="1" applyBorder="1" applyFont="1">
      <alignment horizontal="center" shrinkToFit="0" vertical="top" wrapText="0"/>
    </xf>
    <xf borderId="1" fillId="5" fontId="3" numFmtId="0" xfId="0" applyAlignment="1" applyBorder="1" applyFill="1" applyFont="1">
      <alignment readingOrder="0" shrinkToFit="0" vertical="top" wrapText="1"/>
    </xf>
    <xf borderId="1" fillId="5" fontId="3" numFmtId="164" xfId="0" applyAlignment="1" applyBorder="1" applyFill="1" applyFont="1" applyNumberFormat="1">
      <alignment readingOrder="0" shrinkToFit="0" vertical="top" wrapText="1"/>
    </xf>
    <xf borderId="1" fillId="0" fontId="3" numFmtId="165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1" fillId="0" fontId="3" numFmtId="165" xfId="0" applyAlignment="1" applyBorder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D6F0E0"/>
          <bgColor rgb="FFD6F0E0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>
        <sz val="10.0"/>
        <color rgb="FF1B5E38"/>
        <name val="Arial"/>
      </font>
      <fill>
        <patternFill patternType="solid">
          <fgColor rgb="FFD6F0E0"/>
          <bgColor rgb="FFD6F0E0"/>
        </patternFill>
      </fill>
      <border/>
    </dxf>
    <dxf>
      <font>
        <b/>
        <sz val="10.0"/>
        <color rgb="FF8B1E27"/>
        <name val="Arial"/>
      </font>
      <fill>
        <patternFill patternType="solid">
          <fgColor rgb="FFF8D7DA"/>
          <bgColor rgb="FFF8D7DA"/>
        </patternFill>
      </fill>
      <border/>
    </dxf>
    <dxf>
      <font>
        <sz val="10.0"/>
        <color rgb="FF8A5A16"/>
        <name val="Arial"/>
      </font>
      <fill>
        <patternFill patternType="solid">
          <fgColor rgb="FFFDE9CE"/>
          <bgColor rgb="FFFDE9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</xdr:row>
      <xdr:rowOff>0</xdr:rowOff>
    </xdr:from>
    <xdr:ext cx="20097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2505075" cy="15716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1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/>
      <c r="B4" s="4"/>
    </row>
    <row r="5">
      <c r="A5" s="5" t="s">
        <v>3</v>
      </c>
      <c r="B5" s="4"/>
    </row>
    <row r="6">
      <c r="A6" s="3" t="s">
        <v>6</v>
      </c>
      <c r="B6" s="4" t="s">
        <v>7</v>
      </c>
    </row>
    <row r="7">
      <c r="A7" s="3" t="s">
        <v>9</v>
      </c>
      <c r="B7" s="4" t="s">
        <v>10</v>
      </c>
    </row>
    <row r="8">
      <c r="A8" s="3" t="s">
        <v>11</v>
      </c>
      <c r="B8" s="4" t="s">
        <v>12</v>
      </c>
    </row>
    <row r="9">
      <c r="A9" s="3" t="s">
        <v>14</v>
      </c>
      <c r="B9" s="4" t="s">
        <v>15</v>
      </c>
    </row>
    <row r="10">
      <c r="A10" s="3" t="s">
        <v>16</v>
      </c>
      <c r="B10" s="4" t="s">
        <v>18</v>
      </c>
    </row>
    <row r="11">
      <c r="A11" s="3"/>
      <c r="B11" s="4"/>
    </row>
    <row r="12">
      <c r="A12" s="5" t="s">
        <v>19</v>
      </c>
      <c r="B12" s="4"/>
    </row>
    <row r="13">
      <c r="A13" s="3"/>
      <c r="B13" s="4" t="s">
        <v>20</v>
      </c>
    </row>
    <row r="14">
      <c r="A14" s="3"/>
      <c r="B14" s="4" t="s">
        <v>24</v>
      </c>
    </row>
    <row r="15">
      <c r="A15" s="3"/>
      <c r="B15" s="4" t="s">
        <v>27</v>
      </c>
    </row>
    <row r="16">
      <c r="A16" s="3"/>
      <c r="B16" s="4"/>
    </row>
    <row r="17">
      <c r="A17" s="5" t="s">
        <v>31</v>
      </c>
      <c r="B17" s="4"/>
    </row>
    <row r="18">
      <c r="A18" s="3" t="s">
        <v>32</v>
      </c>
      <c r="B18" s="4" t="s">
        <v>33</v>
      </c>
    </row>
    <row r="19">
      <c r="A19" s="3" t="s">
        <v>35</v>
      </c>
      <c r="B19" s="4" t="s">
        <v>36</v>
      </c>
    </row>
    <row r="20">
      <c r="A20" s="3" t="s">
        <v>38</v>
      </c>
      <c r="B20" s="4" t="s">
        <v>40</v>
      </c>
    </row>
    <row r="21" ht="15.75" customHeight="1">
      <c r="A21" s="3"/>
      <c r="B21" s="4"/>
    </row>
    <row r="22" ht="15.75" customHeight="1">
      <c r="A22" s="5" t="s">
        <v>45</v>
      </c>
      <c r="B22" s="4"/>
    </row>
    <row r="23" ht="15.75" customHeight="1">
      <c r="A23" s="3" t="s">
        <v>47</v>
      </c>
      <c r="B23" s="4" t="s">
        <v>48</v>
      </c>
    </row>
    <row r="24" ht="15.75" customHeight="1">
      <c r="A24" s="3" t="s">
        <v>50</v>
      </c>
      <c r="B24" s="4" t="s">
        <v>52</v>
      </c>
    </row>
    <row r="25" ht="15.75" customHeight="1">
      <c r="A25" s="3" t="s">
        <v>56</v>
      </c>
      <c r="B25" s="4" t="s">
        <v>58</v>
      </c>
    </row>
    <row r="26" ht="15.75" customHeight="1">
      <c r="A26" s="3" t="s">
        <v>62</v>
      </c>
      <c r="B26" s="4" t="s">
        <v>63</v>
      </c>
    </row>
    <row r="27" ht="15.75" customHeight="1">
      <c r="A27" s="3" t="s">
        <v>67</v>
      </c>
      <c r="B27" s="4" t="s">
        <v>69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60.0"/>
    <col customWidth="1" min="3" max="3" width="16.0"/>
    <col customWidth="1" min="4" max="4" width="44.0"/>
    <col customWidth="1" min="5" max="26" width="8.71"/>
  </cols>
  <sheetData>
    <row r="1">
      <c r="A1" s="1" t="s">
        <v>4</v>
      </c>
    </row>
    <row r="3">
      <c r="A3" s="6" t="s">
        <v>17</v>
      </c>
      <c r="B3" s="6" t="s">
        <v>22</v>
      </c>
    </row>
    <row r="4">
      <c r="A4" s="7" t="s">
        <v>28</v>
      </c>
      <c r="B4" s="7" t="s">
        <v>34</v>
      </c>
    </row>
    <row r="5">
      <c r="A5" s="7" t="s">
        <v>37</v>
      </c>
      <c r="B5" s="7" t="s">
        <v>39</v>
      </c>
    </row>
    <row r="6">
      <c r="A6" s="7" t="s">
        <v>41</v>
      </c>
      <c r="B6" s="7" t="s">
        <v>43</v>
      </c>
    </row>
    <row r="7">
      <c r="A7" s="7" t="s">
        <v>44</v>
      </c>
      <c r="B7" s="7" t="s">
        <v>46</v>
      </c>
    </row>
    <row r="10">
      <c r="A10" s="1" t="s">
        <v>49</v>
      </c>
    </row>
    <row r="12">
      <c r="A12" s="6" t="s">
        <v>53</v>
      </c>
      <c r="B12" s="6" t="s">
        <v>55</v>
      </c>
      <c r="C12" s="6" t="s">
        <v>59</v>
      </c>
      <c r="D12" s="6" t="s">
        <v>61</v>
      </c>
    </row>
    <row r="13">
      <c r="A13" s="7" t="s">
        <v>64</v>
      </c>
      <c r="B13" s="7" t="s">
        <v>66</v>
      </c>
      <c r="C13" s="7" t="s">
        <v>68</v>
      </c>
      <c r="D13" s="7" t="s">
        <v>70</v>
      </c>
    </row>
    <row r="14">
      <c r="A14" s="7" t="s">
        <v>71</v>
      </c>
      <c r="B14" s="7" t="s">
        <v>72</v>
      </c>
      <c r="C14" s="7" t="s">
        <v>68</v>
      </c>
      <c r="D14" s="7" t="s">
        <v>73</v>
      </c>
    </row>
    <row r="15">
      <c r="A15" s="7" t="s">
        <v>74</v>
      </c>
      <c r="B15" s="7" t="s">
        <v>75</v>
      </c>
      <c r="C15" s="7" t="s">
        <v>76</v>
      </c>
      <c r="D15" s="7" t="s">
        <v>77</v>
      </c>
    </row>
    <row r="16">
      <c r="A16" s="7" t="s">
        <v>79</v>
      </c>
      <c r="B16" s="7" t="s">
        <v>81</v>
      </c>
      <c r="C16" s="7" t="s">
        <v>68</v>
      </c>
      <c r="D16" s="7" t="s">
        <v>83</v>
      </c>
    </row>
    <row r="19">
      <c r="A19" s="1" t="s">
        <v>86</v>
      </c>
    </row>
    <row r="20">
      <c r="A20" s="5" t="s">
        <v>87</v>
      </c>
      <c r="B20" s="4" t="s">
        <v>88</v>
      </c>
    </row>
    <row r="21" ht="15.75" customHeight="1">
      <c r="A21" s="5" t="s">
        <v>89</v>
      </c>
      <c r="B21" s="4" t="s">
        <v>90</v>
      </c>
    </row>
    <row r="22" ht="15.75" customHeight="1">
      <c r="A22" s="5" t="s">
        <v>91</v>
      </c>
      <c r="B22" s="4" t="s">
        <v>92</v>
      </c>
    </row>
    <row r="23" ht="15.75" customHeight="1">
      <c r="A23" s="5" t="s">
        <v>93</v>
      </c>
      <c r="B23" s="4" t="s">
        <v>94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6.0"/>
    <col customWidth="1" min="3" max="6" width="14.0"/>
    <col customWidth="1" min="7" max="7" width="12.0"/>
    <col customWidth="1" min="8" max="26" width="8.71"/>
  </cols>
  <sheetData>
    <row r="1">
      <c r="A1" s="1" t="s">
        <v>2</v>
      </c>
    </row>
    <row r="2">
      <c r="A2" s="2" t="s">
        <v>5</v>
      </c>
    </row>
    <row r="4">
      <c r="A4" s="5" t="s">
        <v>8</v>
      </c>
    </row>
    <row r="5">
      <c r="A5" s="6" t="s">
        <v>13</v>
      </c>
      <c r="B5" s="6" t="s">
        <v>21</v>
      </c>
      <c r="C5" s="6" t="s">
        <v>23</v>
      </c>
      <c r="D5" s="6" t="s">
        <v>25</v>
      </c>
      <c r="E5" s="6" t="s">
        <v>26</v>
      </c>
      <c r="F5" s="6" t="s">
        <v>29</v>
      </c>
      <c r="G5" s="6" t="s">
        <v>30</v>
      </c>
    </row>
    <row r="6">
      <c r="A6" s="8" t="s">
        <v>32</v>
      </c>
      <c r="B6" s="11">
        <f>COUNTIF('Casos de prueba'!$F$2:$F$254,$A6)</f>
        <v>164</v>
      </c>
      <c r="C6" s="11">
        <f>COUNTIFS('Casos de prueba'!$F$2:$F$254,$A6,'Casos de prueba'!$K$2:$K$254,"Aprobado")</f>
        <v>2</v>
      </c>
      <c r="D6" s="11">
        <f>COUNTIFS('Casos de prueba'!$F$2:$F$254,$A6,'Casos de prueba'!$K$2:$K$254,"Fallido")</f>
        <v>0</v>
      </c>
      <c r="E6" s="11">
        <f>COUNTIFS('Casos de prueba'!$F$2:$F$254,$A6,'Casos de prueba'!$K$2:$K$254,"Bloqueado")</f>
        <v>0</v>
      </c>
      <c r="F6" s="11">
        <f t="shared" ref="F6:F8" si="1">B6-C6-D6-E6</f>
        <v>162</v>
      </c>
      <c r="G6" s="19">
        <f t="shared" ref="G6:G9" si="2">IFERROR(C6/B6,0)</f>
        <v>0.01219512195</v>
      </c>
    </row>
    <row r="7">
      <c r="A7" s="8" t="s">
        <v>35</v>
      </c>
      <c r="B7" s="11">
        <f>COUNTIF('Casos de prueba'!$F$2:$F$254,$A7)</f>
        <v>73</v>
      </c>
      <c r="C7" s="11">
        <f>COUNTIFS('Casos de prueba'!$F$2:$F$254,$A7,'Casos de prueba'!$K$2:$K$254,"Aprobado")</f>
        <v>0</v>
      </c>
      <c r="D7" s="11">
        <f>COUNTIFS('Casos de prueba'!$F$2:$F$254,$A7,'Casos de prueba'!$K$2:$K$254,"Fallido")</f>
        <v>0</v>
      </c>
      <c r="E7" s="11">
        <f>COUNTIFS('Casos de prueba'!$F$2:$F$254,$A7,'Casos de prueba'!$K$2:$K$254,"Bloqueado")</f>
        <v>0</v>
      </c>
      <c r="F7" s="11">
        <f t="shared" si="1"/>
        <v>73</v>
      </c>
      <c r="G7" s="19">
        <f t="shared" si="2"/>
        <v>0</v>
      </c>
    </row>
    <row r="8">
      <c r="A8" s="8" t="s">
        <v>38</v>
      </c>
      <c r="B8" s="11">
        <f>COUNTIF('Casos de prueba'!$F$2:$F$254,$A8)</f>
        <v>16</v>
      </c>
      <c r="C8" s="11">
        <f>COUNTIFS('Casos de prueba'!$F$2:$F$254,$A8,'Casos de prueba'!$K$2:$K$254,"Aprobado")</f>
        <v>0</v>
      </c>
      <c r="D8" s="11">
        <f>COUNTIFS('Casos de prueba'!$F$2:$F$254,$A8,'Casos de prueba'!$K$2:$K$254,"Fallido")</f>
        <v>0</v>
      </c>
      <c r="E8" s="11">
        <f>COUNTIFS('Casos de prueba'!$F$2:$F$254,$A8,'Casos de prueba'!$K$2:$K$254,"Bloqueado")</f>
        <v>0</v>
      </c>
      <c r="F8" s="11">
        <f t="shared" si="1"/>
        <v>16</v>
      </c>
      <c r="G8" s="19">
        <f t="shared" si="2"/>
        <v>0</v>
      </c>
    </row>
    <row r="9">
      <c r="A9" s="8" t="s">
        <v>21</v>
      </c>
      <c r="B9" s="8">
        <f t="shared" ref="B9:F9" si="3">SUM(B6:B8)</f>
        <v>253</v>
      </c>
      <c r="C9" s="8">
        <f t="shared" si="3"/>
        <v>2</v>
      </c>
      <c r="D9" s="8">
        <f t="shared" si="3"/>
        <v>0</v>
      </c>
      <c r="E9" s="8">
        <f t="shared" si="3"/>
        <v>0</v>
      </c>
      <c r="F9" s="8">
        <f t="shared" si="3"/>
        <v>251</v>
      </c>
      <c r="G9" s="20">
        <f t="shared" si="2"/>
        <v>0.00790513834</v>
      </c>
    </row>
    <row r="11">
      <c r="A11" s="5" t="s">
        <v>135</v>
      </c>
    </row>
    <row r="12">
      <c r="A12" s="6" t="s">
        <v>65</v>
      </c>
      <c r="B12" s="6" t="s">
        <v>22</v>
      </c>
      <c r="C12" s="6" t="s">
        <v>21</v>
      </c>
      <c r="D12" s="6" t="s">
        <v>23</v>
      </c>
      <c r="E12" s="6" t="s">
        <v>29</v>
      </c>
    </row>
    <row r="13">
      <c r="A13" s="8" t="s">
        <v>47</v>
      </c>
      <c r="B13" s="11" t="s">
        <v>48</v>
      </c>
      <c r="C13" s="23">
        <f>COUNTIF('Casos de prueba'!$G$2:$G$254,$A13)</f>
        <v>125</v>
      </c>
      <c r="D13" s="23">
        <f>COUNTIFS('Casos de prueba'!$G$2:$G$254,$A13,'Casos de prueba'!$K$2:$K$254,"Aprobado")</f>
        <v>0</v>
      </c>
      <c r="E13" s="23">
        <f t="shared" ref="E13:E17" si="4">C13-D13</f>
        <v>125</v>
      </c>
    </row>
    <row r="14">
      <c r="A14" s="8" t="s">
        <v>50</v>
      </c>
      <c r="B14" s="11" t="s">
        <v>52</v>
      </c>
      <c r="C14" s="23">
        <f>COUNTIF('Casos de prueba'!$G$2:$G$254,$A14)</f>
        <v>55</v>
      </c>
      <c r="D14" s="23">
        <f>COUNTIFS('Casos de prueba'!$G$2:$G$254,$A14,'Casos de prueba'!$K$2:$K$254,"Aprobado")</f>
        <v>0</v>
      </c>
      <c r="E14" s="23">
        <f t="shared" si="4"/>
        <v>55</v>
      </c>
    </row>
    <row r="15">
      <c r="A15" s="8" t="s">
        <v>56</v>
      </c>
      <c r="B15" s="11" t="s">
        <v>58</v>
      </c>
      <c r="C15" s="23">
        <f>COUNTIF('Casos de prueba'!$G$2:$G$254,$A15)</f>
        <v>24</v>
      </c>
      <c r="D15" s="23">
        <f>COUNTIFS('Casos de prueba'!$G$2:$G$254,$A15,'Casos de prueba'!$K$2:$K$254,"Aprobado")</f>
        <v>2</v>
      </c>
      <c r="E15" s="23">
        <f t="shared" si="4"/>
        <v>22</v>
      </c>
    </row>
    <row r="16">
      <c r="A16" s="8" t="s">
        <v>62</v>
      </c>
      <c r="B16" s="11" t="s">
        <v>188</v>
      </c>
      <c r="C16" s="23">
        <f>COUNTIF('Casos de prueba'!$G$2:$G$254,$A16)</f>
        <v>15</v>
      </c>
      <c r="D16" s="23">
        <f>COUNTIFS('Casos de prueba'!$G$2:$G$254,$A16,'Casos de prueba'!$K$2:$K$254,"Aprobado")</f>
        <v>0</v>
      </c>
      <c r="E16" s="23">
        <f t="shared" si="4"/>
        <v>15</v>
      </c>
    </row>
    <row r="17">
      <c r="A17" s="8" t="s">
        <v>67</v>
      </c>
      <c r="B17" s="11" t="s">
        <v>69</v>
      </c>
      <c r="C17" s="23">
        <f>COUNTIF('Casos de prueba'!$G$2:$G$254,$A17)</f>
        <v>34</v>
      </c>
      <c r="D17" s="23">
        <f>COUNTIFS('Casos de prueba'!$G$2:$G$254,$A17,'Casos de prueba'!$K$2:$K$254,"Aprobado")</f>
        <v>0</v>
      </c>
      <c r="E17" s="23">
        <f t="shared" si="4"/>
        <v>34</v>
      </c>
    </row>
    <row r="19">
      <c r="A19" s="5" t="s">
        <v>198</v>
      </c>
    </row>
    <row r="20">
      <c r="A20" s="6" t="s">
        <v>51</v>
      </c>
      <c r="B20" s="6" t="s">
        <v>21</v>
      </c>
      <c r="C20" s="6" t="s">
        <v>23</v>
      </c>
      <c r="D20" s="6" t="s">
        <v>25</v>
      </c>
      <c r="E20" s="6" t="s">
        <v>29</v>
      </c>
      <c r="F20" s="6" t="s">
        <v>30</v>
      </c>
    </row>
    <row r="21" ht="15.75" customHeight="1">
      <c r="A21" s="11" t="s">
        <v>96</v>
      </c>
      <c r="B21" s="11">
        <f>COUNTIF('Casos de prueba'!$B$2:$B$254,$A21)</f>
        <v>18</v>
      </c>
      <c r="C21" s="11">
        <f>COUNTIFS('Casos de prueba'!$B$2:$B$254,$A21,'Casos de prueba'!$K$2:$K$254,"Aprobado")</f>
        <v>2</v>
      </c>
      <c r="D21" s="11">
        <f>COUNTIFS('Casos de prueba'!$B$2:$B$254,$A21,'Casos de prueba'!$K$2:$K$254,"Fallido")</f>
        <v>0</v>
      </c>
      <c r="E21" s="11">
        <f t="shared" ref="E21:E37" si="5">B21-C21-D21</f>
        <v>16</v>
      </c>
      <c r="F21" s="19">
        <f t="shared" ref="F21:F37" si="6">IFERROR(C21/B21,0)</f>
        <v>0.1111111111</v>
      </c>
    </row>
    <row r="22" ht="15.75" customHeight="1">
      <c r="A22" s="11" t="s">
        <v>199</v>
      </c>
      <c r="B22" s="11">
        <f>COUNTIF('Casos de prueba'!$B$2:$B$254,$A22)</f>
        <v>12</v>
      </c>
      <c r="C22" s="11">
        <f>COUNTIFS('Casos de prueba'!$B$2:$B$254,$A22,'Casos de prueba'!$K$2:$K$254,"Aprobado")</f>
        <v>0</v>
      </c>
      <c r="D22" s="11">
        <f>COUNTIFS('Casos de prueba'!$B$2:$B$254,$A22,'Casos de prueba'!$K$2:$K$254,"Fallido")</f>
        <v>0</v>
      </c>
      <c r="E22" s="11">
        <f t="shared" si="5"/>
        <v>12</v>
      </c>
      <c r="F22" s="19">
        <f t="shared" si="6"/>
        <v>0</v>
      </c>
    </row>
    <row r="23" ht="15.75" customHeight="1">
      <c r="A23" s="11" t="s">
        <v>83</v>
      </c>
      <c r="B23" s="11">
        <f>COUNTIF('Casos de prueba'!$B$2:$B$254,$A23)</f>
        <v>10</v>
      </c>
      <c r="C23" s="11">
        <f>COUNTIFS('Casos de prueba'!$B$2:$B$254,$A23,'Casos de prueba'!$K$2:$K$254,"Aprobado")</f>
        <v>0</v>
      </c>
      <c r="D23" s="11">
        <f>COUNTIFS('Casos de prueba'!$B$2:$B$254,$A23,'Casos de prueba'!$K$2:$K$254,"Fallido")</f>
        <v>0</v>
      </c>
      <c r="E23" s="11">
        <f t="shared" si="5"/>
        <v>10</v>
      </c>
      <c r="F23" s="19">
        <f t="shared" si="6"/>
        <v>0</v>
      </c>
    </row>
    <row r="24" ht="15.75" customHeight="1">
      <c r="A24" s="11" t="s">
        <v>221</v>
      </c>
      <c r="B24" s="11">
        <f>COUNTIF('Casos de prueba'!$B$2:$B$254,$A24)</f>
        <v>12</v>
      </c>
      <c r="C24" s="11">
        <f>COUNTIFS('Casos de prueba'!$B$2:$B$254,$A24,'Casos de prueba'!$K$2:$K$254,"Aprobado")</f>
        <v>0</v>
      </c>
      <c r="D24" s="11">
        <f>COUNTIFS('Casos de prueba'!$B$2:$B$254,$A24,'Casos de prueba'!$K$2:$K$254,"Fallido")</f>
        <v>0</v>
      </c>
      <c r="E24" s="11">
        <f t="shared" si="5"/>
        <v>12</v>
      </c>
      <c r="F24" s="19">
        <f t="shared" si="6"/>
        <v>0</v>
      </c>
    </row>
    <row r="25" ht="15.75" customHeight="1">
      <c r="A25" s="11" t="s">
        <v>237</v>
      </c>
      <c r="B25" s="11">
        <f>COUNTIF('Casos de prueba'!$B$2:$B$254,$A25)</f>
        <v>33</v>
      </c>
      <c r="C25" s="11">
        <f>COUNTIFS('Casos de prueba'!$B$2:$B$254,$A25,'Casos de prueba'!$K$2:$K$254,"Aprobado")</f>
        <v>0</v>
      </c>
      <c r="D25" s="11">
        <f>COUNTIFS('Casos de prueba'!$B$2:$B$254,$A25,'Casos de prueba'!$K$2:$K$254,"Fallido")</f>
        <v>0</v>
      </c>
      <c r="E25" s="11">
        <f t="shared" si="5"/>
        <v>33</v>
      </c>
      <c r="F25" s="19">
        <f t="shared" si="6"/>
        <v>0</v>
      </c>
    </row>
    <row r="26" ht="15.75" customHeight="1">
      <c r="A26" s="11" t="s">
        <v>265</v>
      </c>
      <c r="B26" s="11">
        <f>COUNTIF('Casos de prueba'!$B$2:$B$254,$A26)</f>
        <v>18</v>
      </c>
      <c r="C26" s="11">
        <f>COUNTIFS('Casos de prueba'!$B$2:$B$254,$A26,'Casos de prueba'!$K$2:$K$254,"Aprobado")</f>
        <v>0</v>
      </c>
      <c r="D26" s="11">
        <f>COUNTIFS('Casos de prueba'!$B$2:$B$254,$A26,'Casos de prueba'!$K$2:$K$254,"Fallido")</f>
        <v>0</v>
      </c>
      <c r="E26" s="11">
        <f t="shared" si="5"/>
        <v>18</v>
      </c>
      <c r="F26" s="19">
        <f t="shared" si="6"/>
        <v>0</v>
      </c>
    </row>
    <row r="27" ht="15.75" customHeight="1">
      <c r="A27" s="11" t="s">
        <v>256</v>
      </c>
      <c r="B27" s="11">
        <f>COUNTIF('Casos de prueba'!$B$2:$B$254,$A27)</f>
        <v>12</v>
      </c>
      <c r="C27" s="11">
        <f>COUNTIFS('Casos de prueba'!$B$2:$B$254,$A27,'Casos de prueba'!$K$2:$K$254,"Aprobado")</f>
        <v>0</v>
      </c>
      <c r="D27" s="11">
        <f>COUNTIFS('Casos de prueba'!$B$2:$B$254,$A27,'Casos de prueba'!$K$2:$K$254,"Fallido")</f>
        <v>0</v>
      </c>
      <c r="E27" s="11">
        <f t="shared" si="5"/>
        <v>12</v>
      </c>
      <c r="F27" s="19">
        <f t="shared" si="6"/>
        <v>0</v>
      </c>
    </row>
    <row r="28" ht="15.75" customHeight="1">
      <c r="A28" s="11" t="s">
        <v>270</v>
      </c>
      <c r="B28" s="11">
        <f>COUNTIF('Casos de prueba'!$B$2:$B$254,$A28)</f>
        <v>20</v>
      </c>
      <c r="C28" s="11">
        <f>COUNTIFS('Casos de prueba'!$B$2:$B$254,$A28,'Casos de prueba'!$K$2:$K$254,"Aprobado")</f>
        <v>0</v>
      </c>
      <c r="D28" s="11">
        <f>COUNTIFS('Casos de prueba'!$B$2:$B$254,$A28,'Casos de prueba'!$K$2:$K$254,"Fallido")</f>
        <v>0</v>
      </c>
      <c r="E28" s="11">
        <f t="shared" si="5"/>
        <v>20</v>
      </c>
      <c r="F28" s="19">
        <f t="shared" si="6"/>
        <v>0</v>
      </c>
    </row>
    <row r="29" ht="15.75" customHeight="1">
      <c r="A29" s="11" t="s">
        <v>246</v>
      </c>
      <c r="B29" s="11">
        <f>COUNTIF('Casos de prueba'!$B$2:$B$254,$A29)</f>
        <v>12</v>
      </c>
      <c r="C29" s="11">
        <f>COUNTIFS('Casos de prueba'!$B$2:$B$254,$A29,'Casos de prueba'!$K$2:$K$254,"Aprobado")</f>
        <v>0</v>
      </c>
      <c r="D29" s="11">
        <f>COUNTIFS('Casos de prueba'!$B$2:$B$254,$A29,'Casos de prueba'!$K$2:$K$254,"Fallido")</f>
        <v>0</v>
      </c>
      <c r="E29" s="11">
        <f t="shared" si="5"/>
        <v>12</v>
      </c>
      <c r="F29" s="19">
        <f t="shared" si="6"/>
        <v>0</v>
      </c>
    </row>
    <row r="30" ht="15.75" customHeight="1">
      <c r="A30" s="11" t="s">
        <v>278</v>
      </c>
      <c r="B30" s="11">
        <f>COUNTIF('Casos de prueba'!$B$2:$B$254,$A30)</f>
        <v>18</v>
      </c>
      <c r="C30" s="11">
        <f>COUNTIFS('Casos de prueba'!$B$2:$B$254,$A30,'Casos de prueba'!$K$2:$K$254,"Aprobado")</f>
        <v>0</v>
      </c>
      <c r="D30" s="11">
        <f>COUNTIFS('Casos de prueba'!$B$2:$B$254,$A30,'Casos de prueba'!$K$2:$K$254,"Fallido")</f>
        <v>0</v>
      </c>
      <c r="E30" s="11">
        <f t="shared" si="5"/>
        <v>18</v>
      </c>
      <c r="F30" s="19">
        <f t="shared" si="6"/>
        <v>0</v>
      </c>
    </row>
    <row r="31" ht="15.75" customHeight="1">
      <c r="A31" s="11" t="s">
        <v>285</v>
      </c>
      <c r="B31" s="11">
        <f>COUNTIF('Casos de prueba'!$B$2:$B$254,$A31)</f>
        <v>12</v>
      </c>
      <c r="C31" s="11">
        <f>COUNTIFS('Casos de prueba'!$B$2:$B$254,$A31,'Casos de prueba'!$K$2:$K$254,"Aprobado")</f>
        <v>0</v>
      </c>
      <c r="D31" s="11">
        <f>COUNTIFS('Casos de prueba'!$B$2:$B$254,$A31,'Casos de prueba'!$K$2:$K$254,"Fallido")</f>
        <v>0</v>
      </c>
      <c r="E31" s="11">
        <f t="shared" si="5"/>
        <v>12</v>
      </c>
      <c r="F31" s="19">
        <f t="shared" si="6"/>
        <v>0</v>
      </c>
    </row>
    <row r="32" ht="15.75" customHeight="1">
      <c r="A32" s="11" t="s">
        <v>292</v>
      </c>
      <c r="B32" s="11">
        <f>COUNTIF('Casos de prueba'!$B$2:$B$254,$A32)</f>
        <v>18</v>
      </c>
      <c r="C32" s="11">
        <f>COUNTIFS('Casos de prueba'!$B$2:$B$254,$A32,'Casos de prueba'!$K$2:$K$254,"Aprobado")</f>
        <v>0</v>
      </c>
      <c r="D32" s="11">
        <f>COUNTIFS('Casos de prueba'!$B$2:$B$254,$A32,'Casos de prueba'!$K$2:$K$254,"Fallido")</f>
        <v>0</v>
      </c>
      <c r="E32" s="11">
        <f t="shared" si="5"/>
        <v>18</v>
      </c>
      <c r="F32" s="19">
        <f t="shared" si="6"/>
        <v>0</v>
      </c>
    </row>
    <row r="33" ht="15.75" customHeight="1">
      <c r="A33" s="11" t="s">
        <v>297</v>
      </c>
      <c r="B33" s="11">
        <f>COUNTIF('Casos de prueba'!$B$2:$B$254,$A33)</f>
        <v>12</v>
      </c>
      <c r="C33" s="11">
        <f>COUNTIFS('Casos de prueba'!$B$2:$B$254,$A33,'Casos de prueba'!$K$2:$K$254,"Aprobado")</f>
        <v>0</v>
      </c>
      <c r="D33" s="11">
        <f>COUNTIFS('Casos de prueba'!$B$2:$B$254,$A33,'Casos de prueba'!$K$2:$K$254,"Fallido")</f>
        <v>0</v>
      </c>
      <c r="E33" s="11">
        <f t="shared" si="5"/>
        <v>12</v>
      </c>
      <c r="F33" s="19">
        <f t="shared" si="6"/>
        <v>0</v>
      </c>
    </row>
    <row r="34" ht="15.75" customHeight="1">
      <c r="A34" s="11" t="s">
        <v>304</v>
      </c>
      <c r="B34" s="11">
        <f>COUNTIF('Casos de prueba'!$B$2:$B$254,$A34)</f>
        <v>11</v>
      </c>
      <c r="C34" s="11">
        <f>COUNTIFS('Casos de prueba'!$B$2:$B$254,$A34,'Casos de prueba'!$K$2:$K$254,"Aprobado")</f>
        <v>0</v>
      </c>
      <c r="D34" s="11">
        <f>COUNTIFS('Casos de prueba'!$B$2:$B$254,$A34,'Casos de prueba'!$K$2:$K$254,"Fallido")</f>
        <v>0</v>
      </c>
      <c r="E34" s="11">
        <f t="shared" si="5"/>
        <v>11</v>
      </c>
      <c r="F34" s="19">
        <f t="shared" si="6"/>
        <v>0</v>
      </c>
    </row>
    <row r="35" ht="15.75" customHeight="1">
      <c r="A35" s="11" t="s">
        <v>313</v>
      </c>
      <c r="B35" s="11">
        <f>COUNTIF('Casos de prueba'!$B$2:$B$254,$A35)</f>
        <v>13</v>
      </c>
      <c r="C35" s="11">
        <f>COUNTIFS('Casos de prueba'!$B$2:$B$254,$A35,'Casos de prueba'!$K$2:$K$254,"Aprobado")</f>
        <v>0</v>
      </c>
      <c r="D35" s="11">
        <f>COUNTIFS('Casos de prueba'!$B$2:$B$254,$A35,'Casos de prueba'!$K$2:$K$254,"Fallido")</f>
        <v>0</v>
      </c>
      <c r="E35" s="11">
        <f t="shared" si="5"/>
        <v>13</v>
      </c>
      <c r="F35" s="19">
        <f t="shared" si="6"/>
        <v>0</v>
      </c>
    </row>
    <row r="36" ht="15.75" customHeight="1">
      <c r="A36" s="11" t="s">
        <v>321</v>
      </c>
      <c r="B36" s="11">
        <f>COUNTIF('Casos de prueba'!$B$2:$B$254,$A36)</f>
        <v>12</v>
      </c>
      <c r="C36" s="11">
        <f>COUNTIFS('Casos de prueba'!$B$2:$B$254,$A36,'Casos de prueba'!$K$2:$K$254,"Aprobado")</f>
        <v>0</v>
      </c>
      <c r="D36" s="11">
        <f>COUNTIFS('Casos de prueba'!$B$2:$B$254,$A36,'Casos de prueba'!$K$2:$K$254,"Fallido")</f>
        <v>0</v>
      </c>
      <c r="E36" s="11">
        <f t="shared" si="5"/>
        <v>12</v>
      </c>
      <c r="F36" s="19">
        <f t="shared" si="6"/>
        <v>0</v>
      </c>
    </row>
    <row r="37" ht="15.75" customHeight="1">
      <c r="A37" s="11" t="s">
        <v>329</v>
      </c>
      <c r="B37" s="11">
        <f>COUNTIF('Casos de prueba'!$B$2:$B$254,$A37)</f>
        <v>10</v>
      </c>
      <c r="C37" s="11">
        <f>COUNTIFS('Casos de prueba'!$B$2:$B$254,$A37,'Casos de prueba'!$K$2:$K$254,"Aprobado")</f>
        <v>0</v>
      </c>
      <c r="D37" s="11">
        <f>COUNTIFS('Casos de prueba'!$B$2:$B$254,$A37,'Casos de prueba'!$K$2:$K$254,"Fallido")</f>
        <v>0</v>
      </c>
      <c r="E37" s="11">
        <f t="shared" si="5"/>
        <v>10</v>
      </c>
      <c r="F37" s="19">
        <f t="shared" si="6"/>
        <v>0</v>
      </c>
    </row>
    <row r="38" ht="15.75" customHeight="1"/>
    <row r="39" ht="15.75" customHeight="1">
      <c r="A39" s="5" t="s">
        <v>366</v>
      </c>
    </row>
    <row r="40" ht="15.75" customHeight="1">
      <c r="A40" s="3" t="s">
        <v>367</v>
      </c>
      <c r="B40" s="5">
        <f>D6</f>
        <v>0</v>
      </c>
    </row>
    <row r="41" ht="15.75" customHeight="1">
      <c r="A41" s="3" t="s">
        <v>370</v>
      </c>
      <c r="B41" s="5" t="str">
        <f>IF(B40=0,"Cumple: ningún caso de prioridad A fallido","No cumple: hay casos de prioridad A fallidos")</f>
        <v>Cumple: ningún caso de prioridad A fallido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34.0"/>
    <col customWidth="1" min="4" max="4" width="40.0"/>
    <col customWidth="1" min="5" max="5" width="46.0"/>
    <col customWidth="1" min="6" max="6" width="10.0"/>
    <col customWidth="1" min="7" max="7" width="8.0"/>
    <col customWidth="1" min="8" max="8" width="10.0"/>
    <col customWidth="1" min="9" max="9" width="15.0"/>
    <col customWidth="1" min="10" max="10" width="16.0"/>
    <col customWidth="1" min="11" max="11" width="15.0"/>
    <col customWidth="1" min="12" max="12" width="69.43"/>
    <col customWidth="1" min="13" max="13" width="16.0"/>
    <col customWidth="1" min="14" max="26" width="8.71"/>
  </cols>
  <sheetData>
    <row r="1" ht="30.0" customHeight="1">
      <c r="A1" s="9" t="s">
        <v>42</v>
      </c>
      <c r="B1" s="9" t="s">
        <v>51</v>
      </c>
      <c r="C1" s="9" t="s">
        <v>54</v>
      </c>
      <c r="D1" s="9" t="s">
        <v>57</v>
      </c>
      <c r="E1" s="9" t="s">
        <v>60</v>
      </c>
      <c r="F1" s="9" t="s">
        <v>13</v>
      </c>
      <c r="G1" s="9" t="s">
        <v>65</v>
      </c>
      <c r="H1" s="10" t="s">
        <v>17</v>
      </c>
      <c r="I1" s="10" t="s">
        <v>78</v>
      </c>
      <c r="J1" s="10" t="s">
        <v>80</v>
      </c>
      <c r="K1" s="10" t="s">
        <v>82</v>
      </c>
      <c r="L1" s="10" t="s">
        <v>84</v>
      </c>
      <c r="M1" s="10" t="s">
        <v>85</v>
      </c>
    </row>
    <row r="2">
      <c r="A2" s="12" t="s">
        <v>95</v>
      </c>
      <c r="B2" s="12" t="s">
        <v>96</v>
      </c>
      <c r="C2" s="12" t="s">
        <v>97</v>
      </c>
      <c r="D2" s="12" t="s">
        <v>98</v>
      </c>
      <c r="E2" s="12" t="s">
        <v>99</v>
      </c>
      <c r="F2" s="13" t="s">
        <v>32</v>
      </c>
      <c r="G2" s="13" t="s">
        <v>47</v>
      </c>
      <c r="H2" s="14"/>
      <c r="I2" s="15"/>
      <c r="J2" s="14"/>
      <c r="K2" s="14" t="s">
        <v>100</v>
      </c>
      <c r="L2" s="14"/>
      <c r="M2" s="14"/>
    </row>
    <row r="3">
      <c r="A3" s="7" t="s">
        <v>101</v>
      </c>
      <c r="B3" s="7" t="s">
        <v>96</v>
      </c>
      <c r="C3" s="7" t="s">
        <v>102</v>
      </c>
      <c r="D3" s="7" t="s">
        <v>103</v>
      </c>
      <c r="E3" s="7" t="s">
        <v>104</v>
      </c>
      <c r="F3" s="16" t="s">
        <v>32</v>
      </c>
      <c r="G3" s="16" t="s">
        <v>56</v>
      </c>
      <c r="H3" s="17" t="s">
        <v>44</v>
      </c>
      <c r="I3" s="18">
        <v>46280.0</v>
      </c>
      <c r="J3" s="17" t="s">
        <v>105</v>
      </c>
      <c r="K3" s="17" t="s">
        <v>23</v>
      </c>
      <c r="L3" s="14"/>
      <c r="M3" s="14"/>
    </row>
    <row r="4" ht="123.75" customHeight="1">
      <c r="A4" s="12" t="s">
        <v>106</v>
      </c>
      <c r="B4" s="12" t="s">
        <v>96</v>
      </c>
      <c r="C4" s="12" t="s">
        <v>102</v>
      </c>
      <c r="D4" s="12" t="s">
        <v>107</v>
      </c>
      <c r="E4" s="12" t="s">
        <v>108</v>
      </c>
      <c r="F4" s="13" t="s">
        <v>32</v>
      </c>
      <c r="G4" s="13" t="s">
        <v>56</v>
      </c>
      <c r="H4" s="17" t="s">
        <v>44</v>
      </c>
      <c r="I4" s="18">
        <v>46280.0</v>
      </c>
      <c r="J4" s="17" t="s">
        <v>105</v>
      </c>
      <c r="K4" s="17" t="s">
        <v>23</v>
      </c>
      <c r="L4" s="14"/>
      <c r="M4" s="14"/>
    </row>
    <row r="5">
      <c r="A5" s="7" t="s">
        <v>109</v>
      </c>
      <c r="B5" s="7" t="s">
        <v>96</v>
      </c>
      <c r="C5" s="7" t="s">
        <v>97</v>
      </c>
      <c r="D5" s="7" t="s">
        <v>110</v>
      </c>
      <c r="E5" s="7" t="s">
        <v>111</v>
      </c>
      <c r="F5" s="16" t="s">
        <v>32</v>
      </c>
      <c r="G5" s="16" t="s">
        <v>47</v>
      </c>
      <c r="H5" s="14"/>
      <c r="I5" s="15"/>
      <c r="J5" s="14"/>
      <c r="K5" s="14" t="s">
        <v>100</v>
      </c>
      <c r="L5" s="14"/>
      <c r="M5" s="14"/>
    </row>
    <row r="6">
      <c r="A6" s="12" t="s">
        <v>112</v>
      </c>
      <c r="B6" s="12" t="s">
        <v>96</v>
      </c>
      <c r="C6" s="12" t="s">
        <v>97</v>
      </c>
      <c r="D6" s="12" t="s">
        <v>113</v>
      </c>
      <c r="E6" s="12" t="s">
        <v>114</v>
      </c>
      <c r="F6" s="13" t="s">
        <v>32</v>
      </c>
      <c r="G6" s="13" t="s">
        <v>47</v>
      </c>
      <c r="H6" s="14"/>
      <c r="I6" s="15"/>
      <c r="J6" s="14"/>
      <c r="K6" s="14" t="s">
        <v>100</v>
      </c>
      <c r="L6" s="14"/>
      <c r="M6" s="14"/>
    </row>
    <row r="7">
      <c r="A7" s="7" t="s">
        <v>115</v>
      </c>
      <c r="B7" s="7" t="s">
        <v>96</v>
      </c>
      <c r="C7" s="7" t="s">
        <v>97</v>
      </c>
      <c r="D7" s="7" t="s">
        <v>116</v>
      </c>
      <c r="E7" s="7" t="s">
        <v>117</v>
      </c>
      <c r="F7" s="16" t="s">
        <v>32</v>
      </c>
      <c r="G7" s="16" t="s">
        <v>47</v>
      </c>
      <c r="H7" s="14"/>
      <c r="I7" s="15"/>
      <c r="J7" s="14"/>
      <c r="K7" s="14" t="s">
        <v>100</v>
      </c>
      <c r="L7" s="14"/>
      <c r="M7" s="14"/>
    </row>
    <row r="8">
      <c r="A8" s="12" t="s">
        <v>118</v>
      </c>
      <c r="B8" s="12" t="s">
        <v>96</v>
      </c>
      <c r="C8" s="12" t="s">
        <v>97</v>
      </c>
      <c r="D8" s="12" t="s">
        <v>119</v>
      </c>
      <c r="E8" s="12" t="s">
        <v>120</v>
      </c>
      <c r="F8" s="13" t="s">
        <v>32</v>
      </c>
      <c r="G8" s="13" t="s">
        <v>47</v>
      </c>
      <c r="H8" s="14"/>
      <c r="I8" s="15"/>
      <c r="J8" s="14"/>
      <c r="K8" s="14" t="s">
        <v>100</v>
      </c>
      <c r="L8" s="14"/>
      <c r="M8" s="14"/>
    </row>
    <row r="9">
      <c r="A9" s="7" t="s">
        <v>121</v>
      </c>
      <c r="B9" s="7" t="s">
        <v>96</v>
      </c>
      <c r="C9" s="7" t="s">
        <v>97</v>
      </c>
      <c r="D9" s="7" t="s">
        <v>122</v>
      </c>
      <c r="E9" s="7" t="s">
        <v>123</v>
      </c>
      <c r="F9" s="16" t="s">
        <v>32</v>
      </c>
      <c r="G9" s="16" t="s">
        <v>47</v>
      </c>
      <c r="H9" s="14"/>
      <c r="I9" s="15"/>
      <c r="J9" s="14"/>
      <c r="K9" s="14" t="s">
        <v>100</v>
      </c>
      <c r="L9" s="14"/>
      <c r="M9" s="14"/>
    </row>
    <row r="10">
      <c r="A10" s="12" t="s">
        <v>124</v>
      </c>
      <c r="B10" s="12" t="s">
        <v>96</v>
      </c>
      <c r="C10" s="12" t="s">
        <v>97</v>
      </c>
      <c r="D10" s="12" t="s">
        <v>125</v>
      </c>
      <c r="E10" s="12" t="s">
        <v>126</v>
      </c>
      <c r="F10" s="13" t="s">
        <v>35</v>
      </c>
      <c r="G10" s="13" t="s">
        <v>47</v>
      </c>
      <c r="H10" s="14"/>
      <c r="I10" s="15"/>
      <c r="J10" s="14"/>
      <c r="K10" s="14" t="s">
        <v>100</v>
      </c>
      <c r="L10" s="14"/>
      <c r="M10" s="14"/>
    </row>
    <row r="11">
      <c r="A11" s="7" t="s">
        <v>127</v>
      </c>
      <c r="B11" s="7" t="s">
        <v>96</v>
      </c>
      <c r="C11" s="7" t="s">
        <v>97</v>
      </c>
      <c r="D11" s="7" t="s">
        <v>128</v>
      </c>
      <c r="E11" s="7" t="s">
        <v>129</v>
      </c>
      <c r="F11" s="16" t="s">
        <v>32</v>
      </c>
      <c r="G11" s="16" t="s">
        <v>47</v>
      </c>
      <c r="H11" s="14"/>
      <c r="I11" s="15"/>
      <c r="J11" s="14"/>
      <c r="K11" s="14" t="s">
        <v>100</v>
      </c>
      <c r="L11" s="14"/>
      <c r="M11" s="14"/>
    </row>
    <row r="12">
      <c r="A12" s="12" t="s">
        <v>134</v>
      </c>
      <c r="B12" s="12" t="s">
        <v>96</v>
      </c>
      <c r="C12" s="12" t="s">
        <v>97</v>
      </c>
      <c r="D12" s="12" t="s">
        <v>136</v>
      </c>
      <c r="E12" s="12" t="s">
        <v>137</v>
      </c>
      <c r="F12" s="13" t="s">
        <v>35</v>
      </c>
      <c r="G12" s="13" t="s">
        <v>47</v>
      </c>
      <c r="H12" s="14"/>
      <c r="I12" s="15"/>
      <c r="J12" s="14"/>
      <c r="K12" s="14" t="s">
        <v>100</v>
      </c>
      <c r="L12" s="14"/>
      <c r="M12" s="14"/>
    </row>
    <row r="13">
      <c r="A13" s="7" t="s">
        <v>140</v>
      </c>
      <c r="B13" s="7" t="s">
        <v>96</v>
      </c>
      <c r="C13" s="7" t="s">
        <v>97</v>
      </c>
      <c r="D13" s="7" t="s">
        <v>141</v>
      </c>
      <c r="E13" s="7" t="s">
        <v>142</v>
      </c>
      <c r="F13" s="16" t="s">
        <v>35</v>
      </c>
      <c r="G13" s="16" t="s">
        <v>47</v>
      </c>
      <c r="H13" s="14"/>
      <c r="I13" s="15"/>
      <c r="J13" s="14"/>
      <c r="K13" s="14" t="s">
        <v>100</v>
      </c>
      <c r="L13" s="14"/>
      <c r="M13" s="14"/>
    </row>
    <row r="14">
      <c r="A14" s="12" t="s">
        <v>145</v>
      </c>
      <c r="B14" s="12" t="s">
        <v>96</v>
      </c>
      <c r="C14" s="12" t="s">
        <v>97</v>
      </c>
      <c r="D14" s="12" t="s">
        <v>148</v>
      </c>
      <c r="E14" s="12" t="s">
        <v>155</v>
      </c>
      <c r="F14" s="13" t="s">
        <v>38</v>
      </c>
      <c r="G14" s="13" t="s">
        <v>47</v>
      </c>
      <c r="H14" s="14"/>
      <c r="I14" s="15"/>
      <c r="J14" s="14"/>
      <c r="K14" s="14" t="s">
        <v>100</v>
      </c>
      <c r="L14" s="14"/>
      <c r="M14" s="14"/>
    </row>
    <row r="15">
      <c r="A15" s="7" t="s">
        <v>161</v>
      </c>
      <c r="B15" s="7" t="s">
        <v>96</v>
      </c>
      <c r="C15" s="7" t="s">
        <v>163</v>
      </c>
      <c r="D15" s="7" t="s">
        <v>164</v>
      </c>
      <c r="E15" s="7" t="s">
        <v>165</v>
      </c>
      <c r="F15" s="16" t="s">
        <v>32</v>
      </c>
      <c r="G15" s="16" t="s">
        <v>47</v>
      </c>
      <c r="H15" s="14"/>
      <c r="I15" s="15"/>
      <c r="J15" s="14"/>
      <c r="K15" s="14" t="s">
        <v>100</v>
      </c>
      <c r="L15" s="14"/>
      <c r="M15" s="14"/>
    </row>
    <row r="16">
      <c r="A16" s="12" t="s">
        <v>175</v>
      </c>
      <c r="B16" s="12" t="s">
        <v>96</v>
      </c>
      <c r="C16" s="12" t="s">
        <v>97</v>
      </c>
      <c r="D16" s="12" t="s">
        <v>176</v>
      </c>
      <c r="E16" s="12" t="s">
        <v>178</v>
      </c>
      <c r="F16" s="13" t="s">
        <v>38</v>
      </c>
      <c r="G16" s="13" t="s">
        <v>47</v>
      </c>
      <c r="H16" s="14"/>
      <c r="I16" s="15"/>
      <c r="J16" s="14"/>
      <c r="K16" s="14" t="s">
        <v>100</v>
      </c>
      <c r="L16" s="14"/>
      <c r="M16" s="14"/>
    </row>
    <row r="17">
      <c r="A17" s="7" t="s">
        <v>187</v>
      </c>
      <c r="B17" s="7" t="s">
        <v>96</v>
      </c>
      <c r="C17" s="7" t="s">
        <v>97</v>
      </c>
      <c r="D17" s="7" t="s">
        <v>189</v>
      </c>
      <c r="E17" s="7" t="s">
        <v>190</v>
      </c>
      <c r="F17" s="16" t="s">
        <v>38</v>
      </c>
      <c r="G17" s="16" t="s">
        <v>47</v>
      </c>
      <c r="H17" s="14"/>
      <c r="I17" s="15"/>
      <c r="J17" s="14"/>
      <c r="K17" s="14" t="s">
        <v>100</v>
      </c>
      <c r="L17" s="14"/>
      <c r="M17" s="14"/>
    </row>
    <row r="18">
      <c r="A18" s="12" t="s">
        <v>191</v>
      </c>
      <c r="B18" s="12" t="s">
        <v>96</v>
      </c>
      <c r="C18" s="12" t="s">
        <v>192</v>
      </c>
      <c r="D18" s="12" t="s">
        <v>193</v>
      </c>
      <c r="E18" s="12" t="s">
        <v>194</v>
      </c>
      <c r="F18" s="13" t="s">
        <v>35</v>
      </c>
      <c r="G18" s="13" t="s">
        <v>67</v>
      </c>
      <c r="H18" s="14"/>
      <c r="I18" s="15"/>
      <c r="J18" s="14"/>
      <c r="K18" s="14" t="s">
        <v>100</v>
      </c>
      <c r="L18" s="14"/>
      <c r="M18" s="14"/>
    </row>
    <row r="19">
      <c r="A19" s="7" t="s">
        <v>195</v>
      </c>
      <c r="B19" s="7" t="s">
        <v>96</v>
      </c>
      <c r="C19" s="7" t="s">
        <v>196</v>
      </c>
      <c r="D19" s="7" t="s">
        <v>164</v>
      </c>
      <c r="E19" s="7" t="s">
        <v>197</v>
      </c>
      <c r="F19" s="16" t="s">
        <v>35</v>
      </c>
      <c r="G19" s="16" t="s">
        <v>47</v>
      </c>
      <c r="H19" s="14"/>
      <c r="I19" s="15"/>
      <c r="J19" s="14"/>
      <c r="K19" s="14" t="s">
        <v>100</v>
      </c>
      <c r="L19" s="14"/>
      <c r="M19" s="14"/>
    </row>
    <row r="20">
      <c r="A20" s="12" t="s">
        <v>143</v>
      </c>
      <c r="B20" s="12" t="s">
        <v>199</v>
      </c>
      <c r="C20" s="12" t="s">
        <v>200</v>
      </c>
      <c r="D20" s="12" t="s">
        <v>201</v>
      </c>
      <c r="E20" s="12" t="s">
        <v>202</v>
      </c>
      <c r="F20" s="13" t="s">
        <v>32</v>
      </c>
      <c r="G20" s="13" t="s">
        <v>47</v>
      </c>
      <c r="H20" s="14"/>
      <c r="I20" s="15"/>
      <c r="J20" s="14"/>
      <c r="K20" s="14" t="s">
        <v>100</v>
      </c>
      <c r="L20" s="14"/>
      <c r="M20" s="14"/>
    </row>
    <row r="21" ht="15.75" customHeight="1">
      <c r="A21" s="7" t="s">
        <v>204</v>
      </c>
      <c r="B21" s="7" t="s">
        <v>199</v>
      </c>
      <c r="C21" s="7" t="s">
        <v>200</v>
      </c>
      <c r="D21" s="7" t="s">
        <v>205</v>
      </c>
      <c r="E21" s="7" t="s">
        <v>206</v>
      </c>
      <c r="F21" s="16" t="s">
        <v>32</v>
      </c>
      <c r="G21" s="16" t="s">
        <v>47</v>
      </c>
      <c r="H21" s="14"/>
      <c r="I21" s="15"/>
      <c r="J21" s="14"/>
      <c r="K21" s="14" t="s">
        <v>100</v>
      </c>
      <c r="L21" s="14"/>
      <c r="M21" s="14"/>
    </row>
    <row r="22" ht="15.75" customHeight="1">
      <c r="A22" s="12" t="s">
        <v>207</v>
      </c>
      <c r="B22" s="12" t="s">
        <v>199</v>
      </c>
      <c r="C22" s="12" t="s">
        <v>97</v>
      </c>
      <c r="D22" s="12" t="s">
        <v>208</v>
      </c>
      <c r="E22" s="12" t="s">
        <v>209</v>
      </c>
      <c r="F22" s="13" t="s">
        <v>32</v>
      </c>
      <c r="G22" s="13" t="s">
        <v>50</v>
      </c>
      <c r="H22" s="14"/>
      <c r="I22" s="15"/>
      <c r="J22" s="14"/>
      <c r="K22" s="14" t="s">
        <v>100</v>
      </c>
      <c r="L22" s="14"/>
      <c r="M22" s="14"/>
    </row>
    <row r="23" ht="15.75" customHeight="1">
      <c r="A23" s="7" t="s">
        <v>211</v>
      </c>
      <c r="B23" s="7" t="s">
        <v>199</v>
      </c>
      <c r="C23" s="7" t="s">
        <v>97</v>
      </c>
      <c r="D23" s="7" t="s">
        <v>212</v>
      </c>
      <c r="E23" s="7" t="s">
        <v>213</v>
      </c>
      <c r="F23" s="16" t="s">
        <v>32</v>
      </c>
      <c r="G23" s="16" t="s">
        <v>47</v>
      </c>
      <c r="H23" s="14"/>
      <c r="I23" s="15"/>
      <c r="J23" s="14"/>
      <c r="K23" s="14" t="s">
        <v>100</v>
      </c>
      <c r="L23" s="14"/>
      <c r="M23" s="14"/>
    </row>
    <row r="24" ht="15.75" customHeight="1">
      <c r="A24" s="12" t="s">
        <v>214</v>
      </c>
      <c r="B24" s="12" t="s">
        <v>199</v>
      </c>
      <c r="C24" s="12" t="s">
        <v>97</v>
      </c>
      <c r="D24" s="12" t="s">
        <v>215</v>
      </c>
      <c r="E24" s="12" t="s">
        <v>216</v>
      </c>
      <c r="F24" s="13" t="s">
        <v>32</v>
      </c>
      <c r="G24" s="13" t="s">
        <v>47</v>
      </c>
      <c r="H24" s="14"/>
      <c r="I24" s="15"/>
      <c r="J24" s="14"/>
      <c r="K24" s="14" t="s">
        <v>100</v>
      </c>
      <c r="L24" s="14"/>
      <c r="M24" s="14"/>
    </row>
    <row r="25" ht="15.75" customHeight="1">
      <c r="A25" s="7" t="s">
        <v>217</v>
      </c>
      <c r="B25" s="7" t="s">
        <v>199</v>
      </c>
      <c r="C25" s="7" t="s">
        <v>97</v>
      </c>
      <c r="D25" s="7" t="s">
        <v>218</v>
      </c>
      <c r="E25" s="7" t="s">
        <v>219</v>
      </c>
      <c r="F25" s="16" t="s">
        <v>35</v>
      </c>
      <c r="G25" s="16" t="s">
        <v>50</v>
      </c>
      <c r="H25" s="14"/>
      <c r="I25" s="15"/>
      <c r="J25" s="14"/>
      <c r="K25" s="14" t="s">
        <v>100</v>
      </c>
      <c r="L25" s="14"/>
      <c r="M25" s="14"/>
    </row>
    <row r="26" ht="15.75" customHeight="1">
      <c r="A26" s="12" t="s">
        <v>222</v>
      </c>
      <c r="B26" s="12" t="s">
        <v>199</v>
      </c>
      <c r="C26" s="12" t="s">
        <v>163</v>
      </c>
      <c r="D26" s="12" t="s">
        <v>223</v>
      </c>
      <c r="E26" s="12" t="s">
        <v>224</v>
      </c>
      <c r="F26" s="13" t="s">
        <v>32</v>
      </c>
      <c r="G26" s="13" t="s">
        <v>47</v>
      </c>
      <c r="H26" s="14"/>
      <c r="I26" s="15"/>
      <c r="J26" s="14"/>
      <c r="K26" s="14" t="s">
        <v>100</v>
      </c>
      <c r="L26" s="14"/>
      <c r="M26" s="14"/>
    </row>
    <row r="27" ht="15.75" customHeight="1">
      <c r="A27" s="7" t="s">
        <v>225</v>
      </c>
      <c r="B27" s="7" t="s">
        <v>199</v>
      </c>
      <c r="C27" s="7" t="s">
        <v>97</v>
      </c>
      <c r="D27" s="7" t="s">
        <v>226</v>
      </c>
      <c r="E27" s="7" t="s">
        <v>227</v>
      </c>
      <c r="F27" s="16" t="s">
        <v>35</v>
      </c>
      <c r="G27" s="16" t="s">
        <v>67</v>
      </c>
      <c r="H27" s="14"/>
      <c r="I27" s="15"/>
      <c r="J27" s="14"/>
      <c r="K27" s="14" t="s">
        <v>100</v>
      </c>
      <c r="L27" s="14"/>
      <c r="M27" s="14"/>
    </row>
    <row r="28" ht="15.75" customHeight="1">
      <c r="A28" s="12" t="s">
        <v>229</v>
      </c>
      <c r="B28" s="12" t="s">
        <v>199</v>
      </c>
      <c r="C28" s="12" t="s">
        <v>97</v>
      </c>
      <c r="D28" s="12" t="s">
        <v>230</v>
      </c>
      <c r="E28" s="12" t="s">
        <v>231</v>
      </c>
      <c r="F28" s="13" t="s">
        <v>38</v>
      </c>
      <c r="G28" s="13" t="s">
        <v>67</v>
      </c>
      <c r="H28" s="14"/>
      <c r="I28" s="15"/>
      <c r="J28" s="14"/>
      <c r="K28" s="14" t="s">
        <v>100</v>
      </c>
      <c r="L28" s="14"/>
      <c r="M28" s="14"/>
    </row>
    <row r="29" ht="15.75" customHeight="1">
      <c r="A29" s="7" t="s">
        <v>232</v>
      </c>
      <c r="B29" s="7" t="s">
        <v>199</v>
      </c>
      <c r="C29" s="7" t="s">
        <v>233</v>
      </c>
      <c r="D29" s="7" t="s">
        <v>234</v>
      </c>
      <c r="E29" s="7" t="s">
        <v>235</v>
      </c>
      <c r="F29" s="16" t="s">
        <v>35</v>
      </c>
      <c r="G29" s="16" t="s">
        <v>50</v>
      </c>
      <c r="H29" s="14"/>
      <c r="I29" s="15"/>
      <c r="J29" s="14"/>
      <c r="K29" s="14" t="s">
        <v>100</v>
      </c>
      <c r="L29" s="14"/>
      <c r="M29" s="14"/>
    </row>
    <row r="30" ht="15.75" customHeight="1">
      <c r="A30" s="12" t="s">
        <v>238</v>
      </c>
      <c r="B30" s="12" t="s">
        <v>199</v>
      </c>
      <c r="C30" s="12" t="s">
        <v>239</v>
      </c>
      <c r="D30" s="12" t="s">
        <v>240</v>
      </c>
      <c r="E30" s="12" t="s">
        <v>241</v>
      </c>
      <c r="F30" s="13" t="s">
        <v>32</v>
      </c>
      <c r="G30" s="13" t="s">
        <v>47</v>
      </c>
      <c r="H30" s="14"/>
      <c r="I30" s="15"/>
      <c r="J30" s="14"/>
      <c r="K30" s="14" t="s">
        <v>100</v>
      </c>
      <c r="L30" s="14"/>
      <c r="M30" s="14"/>
    </row>
    <row r="31" ht="15.75" customHeight="1">
      <c r="A31" s="7" t="s">
        <v>242</v>
      </c>
      <c r="B31" s="7" t="s">
        <v>199</v>
      </c>
      <c r="C31" s="7" t="s">
        <v>97</v>
      </c>
      <c r="D31" s="7" t="s">
        <v>243</v>
      </c>
      <c r="E31" s="7" t="s">
        <v>244</v>
      </c>
      <c r="F31" s="16" t="s">
        <v>35</v>
      </c>
      <c r="G31" s="16" t="s">
        <v>47</v>
      </c>
      <c r="H31" s="14"/>
      <c r="I31" s="15"/>
      <c r="J31" s="14"/>
      <c r="K31" s="14" t="s">
        <v>100</v>
      </c>
      <c r="L31" s="14"/>
      <c r="M31" s="14"/>
    </row>
    <row r="32" ht="15.75" customHeight="1">
      <c r="A32" s="12" t="s">
        <v>247</v>
      </c>
      <c r="B32" s="12" t="s">
        <v>83</v>
      </c>
      <c r="C32" s="12" t="s">
        <v>248</v>
      </c>
      <c r="D32" s="12" t="s">
        <v>249</v>
      </c>
      <c r="E32" s="12" t="s">
        <v>250</v>
      </c>
      <c r="F32" s="13" t="s">
        <v>32</v>
      </c>
      <c r="G32" s="13" t="s">
        <v>47</v>
      </c>
      <c r="H32" s="14"/>
      <c r="I32" s="15"/>
      <c r="J32" s="14"/>
      <c r="K32" s="14" t="s">
        <v>100</v>
      </c>
      <c r="L32" s="14"/>
      <c r="M32" s="14"/>
    </row>
    <row r="33" ht="15.75" customHeight="1">
      <c r="A33" s="7" t="s">
        <v>251</v>
      </c>
      <c r="B33" s="7" t="s">
        <v>83</v>
      </c>
      <c r="C33" s="7" t="s">
        <v>252</v>
      </c>
      <c r="D33" s="7" t="s">
        <v>253</v>
      </c>
      <c r="E33" s="7" t="s">
        <v>254</v>
      </c>
      <c r="F33" s="16" t="s">
        <v>32</v>
      </c>
      <c r="G33" s="16" t="s">
        <v>56</v>
      </c>
      <c r="H33" s="14"/>
      <c r="I33" s="15"/>
      <c r="J33" s="14"/>
      <c r="K33" s="14" t="s">
        <v>100</v>
      </c>
      <c r="L33" s="14"/>
      <c r="M33" s="14"/>
    </row>
    <row r="34" ht="15.75" customHeight="1">
      <c r="A34" s="12" t="s">
        <v>257</v>
      </c>
      <c r="B34" s="12" t="s">
        <v>83</v>
      </c>
      <c r="C34" s="12" t="s">
        <v>258</v>
      </c>
      <c r="D34" s="12" t="s">
        <v>259</v>
      </c>
      <c r="E34" s="12" t="s">
        <v>260</v>
      </c>
      <c r="F34" s="13" t="s">
        <v>32</v>
      </c>
      <c r="G34" s="13" t="s">
        <v>50</v>
      </c>
      <c r="H34" s="14"/>
      <c r="I34" s="15"/>
      <c r="J34" s="14"/>
      <c r="K34" s="14" t="s">
        <v>100</v>
      </c>
      <c r="L34" s="14"/>
      <c r="M34" s="14"/>
    </row>
    <row r="35" ht="15.75" customHeight="1">
      <c r="A35" s="7" t="s">
        <v>261</v>
      </c>
      <c r="B35" s="7" t="s">
        <v>83</v>
      </c>
      <c r="C35" s="7" t="s">
        <v>97</v>
      </c>
      <c r="D35" s="7" t="s">
        <v>262</v>
      </c>
      <c r="E35" s="7" t="s">
        <v>263</v>
      </c>
      <c r="F35" s="16" t="s">
        <v>32</v>
      </c>
      <c r="G35" s="16" t="s">
        <v>47</v>
      </c>
      <c r="H35" s="14"/>
      <c r="I35" s="15"/>
      <c r="J35" s="14"/>
      <c r="K35" s="14" t="s">
        <v>100</v>
      </c>
      <c r="L35" s="14"/>
      <c r="M35" s="14"/>
    </row>
    <row r="36" ht="15.75" customHeight="1">
      <c r="A36" s="12" t="s">
        <v>266</v>
      </c>
      <c r="B36" s="12" t="s">
        <v>83</v>
      </c>
      <c r="C36" s="12" t="s">
        <v>97</v>
      </c>
      <c r="D36" s="12" t="s">
        <v>267</v>
      </c>
      <c r="E36" s="12" t="s">
        <v>268</v>
      </c>
      <c r="F36" s="13" t="s">
        <v>32</v>
      </c>
      <c r="G36" s="13" t="s">
        <v>47</v>
      </c>
      <c r="H36" s="14"/>
      <c r="I36" s="15"/>
      <c r="J36" s="14"/>
      <c r="K36" s="14" t="s">
        <v>100</v>
      </c>
      <c r="L36" s="14"/>
      <c r="M36" s="14"/>
    </row>
    <row r="37" ht="15.75" customHeight="1">
      <c r="A37" s="7" t="s">
        <v>271</v>
      </c>
      <c r="B37" s="7" t="s">
        <v>83</v>
      </c>
      <c r="C37" s="7" t="s">
        <v>97</v>
      </c>
      <c r="D37" s="7" t="s">
        <v>272</v>
      </c>
      <c r="E37" s="7" t="s">
        <v>273</v>
      </c>
      <c r="F37" s="16" t="s">
        <v>35</v>
      </c>
      <c r="G37" s="16" t="s">
        <v>50</v>
      </c>
      <c r="H37" s="14"/>
      <c r="I37" s="15"/>
      <c r="J37" s="14"/>
      <c r="K37" s="14" t="s">
        <v>100</v>
      </c>
      <c r="L37" s="14"/>
      <c r="M37" s="14"/>
    </row>
    <row r="38" ht="15.75" customHeight="1">
      <c r="A38" s="12" t="s">
        <v>274</v>
      </c>
      <c r="B38" s="12" t="s">
        <v>83</v>
      </c>
      <c r="C38" s="12" t="s">
        <v>275</v>
      </c>
      <c r="D38" s="12" t="s">
        <v>276</v>
      </c>
      <c r="E38" s="12" t="s">
        <v>279</v>
      </c>
      <c r="F38" s="13" t="s">
        <v>38</v>
      </c>
      <c r="G38" s="13" t="s">
        <v>67</v>
      </c>
      <c r="H38" s="14"/>
      <c r="I38" s="15"/>
      <c r="J38" s="14"/>
      <c r="K38" s="14" t="s">
        <v>100</v>
      </c>
      <c r="L38" s="14"/>
      <c r="M38" s="14"/>
    </row>
    <row r="39" ht="15.75" customHeight="1">
      <c r="A39" s="7" t="s">
        <v>280</v>
      </c>
      <c r="B39" s="7" t="s">
        <v>83</v>
      </c>
      <c r="C39" s="7" t="s">
        <v>281</v>
      </c>
      <c r="D39" s="7" t="s">
        <v>282</v>
      </c>
      <c r="E39" s="7" t="s">
        <v>283</v>
      </c>
      <c r="F39" s="16" t="s">
        <v>35</v>
      </c>
      <c r="G39" s="16" t="s">
        <v>67</v>
      </c>
      <c r="H39" s="14"/>
      <c r="I39" s="15"/>
      <c r="J39" s="14"/>
      <c r="K39" s="14" t="s">
        <v>100</v>
      </c>
      <c r="L39" s="14"/>
      <c r="M39" s="14"/>
    </row>
    <row r="40" ht="15.75" customHeight="1">
      <c r="A40" s="12" t="s">
        <v>286</v>
      </c>
      <c r="B40" s="12" t="s">
        <v>83</v>
      </c>
      <c r="C40" s="12" t="s">
        <v>163</v>
      </c>
      <c r="D40" s="12" t="s">
        <v>287</v>
      </c>
      <c r="E40" s="12" t="s">
        <v>224</v>
      </c>
      <c r="F40" s="13" t="s">
        <v>35</v>
      </c>
      <c r="G40" s="13" t="s">
        <v>47</v>
      </c>
      <c r="H40" s="14"/>
      <c r="I40" s="15"/>
      <c r="J40" s="14"/>
      <c r="K40" s="14" t="s">
        <v>100</v>
      </c>
      <c r="L40" s="14"/>
      <c r="M40" s="14"/>
    </row>
    <row r="41" ht="15.75" customHeight="1">
      <c r="A41" s="7" t="s">
        <v>288</v>
      </c>
      <c r="B41" s="7" t="s">
        <v>83</v>
      </c>
      <c r="C41" s="7" t="s">
        <v>252</v>
      </c>
      <c r="D41" s="7" t="s">
        <v>289</v>
      </c>
      <c r="E41" s="7" t="s">
        <v>290</v>
      </c>
      <c r="F41" s="16" t="s">
        <v>38</v>
      </c>
      <c r="G41" s="16" t="s">
        <v>50</v>
      </c>
      <c r="H41" s="14"/>
      <c r="I41" s="15"/>
      <c r="J41" s="14"/>
      <c r="K41" s="14" t="s">
        <v>100</v>
      </c>
      <c r="L41" s="14"/>
      <c r="M41" s="14"/>
    </row>
    <row r="42" ht="15.75" customHeight="1">
      <c r="A42" s="12" t="s">
        <v>146</v>
      </c>
      <c r="B42" s="12" t="s">
        <v>221</v>
      </c>
      <c r="C42" s="12" t="s">
        <v>97</v>
      </c>
      <c r="D42" s="12" t="s">
        <v>293</v>
      </c>
      <c r="E42" s="12" t="s">
        <v>294</v>
      </c>
      <c r="F42" s="13" t="s">
        <v>32</v>
      </c>
      <c r="G42" s="13" t="s">
        <v>50</v>
      </c>
      <c r="H42" s="14"/>
      <c r="I42" s="15"/>
      <c r="J42" s="14"/>
      <c r="K42" s="14" t="s">
        <v>100</v>
      </c>
      <c r="L42" s="14"/>
      <c r="M42" s="14"/>
    </row>
    <row r="43" ht="15.75" customHeight="1">
      <c r="A43" s="7" t="s">
        <v>295</v>
      </c>
      <c r="B43" s="7" t="s">
        <v>221</v>
      </c>
      <c r="C43" s="7" t="s">
        <v>97</v>
      </c>
      <c r="D43" s="7" t="s">
        <v>298</v>
      </c>
      <c r="E43" s="7" t="s">
        <v>294</v>
      </c>
      <c r="F43" s="16" t="s">
        <v>32</v>
      </c>
      <c r="G43" s="16" t="s">
        <v>50</v>
      </c>
      <c r="H43" s="14"/>
      <c r="I43" s="15"/>
      <c r="J43" s="14"/>
      <c r="K43" s="14" t="s">
        <v>100</v>
      </c>
      <c r="L43" s="14"/>
      <c r="M43" s="14"/>
    </row>
    <row r="44" ht="15.75" customHeight="1">
      <c r="A44" s="12" t="s">
        <v>299</v>
      </c>
      <c r="B44" s="12" t="s">
        <v>221</v>
      </c>
      <c r="C44" s="12" t="s">
        <v>97</v>
      </c>
      <c r="D44" s="12" t="s">
        <v>300</v>
      </c>
      <c r="E44" s="12" t="s">
        <v>294</v>
      </c>
      <c r="F44" s="13" t="s">
        <v>32</v>
      </c>
      <c r="G44" s="13" t="s">
        <v>50</v>
      </c>
      <c r="H44" s="14"/>
      <c r="I44" s="15"/>
      <c r="J44" s="14"/>
      <c r="K44" s="14" t="s">
        <v>100</v>
      </c>
      <c r="L44" s="14"/>
      <c r="M44" s="14"/>
    </row>
    <row r="45" ht="15.75" customHeight="1">
      <c r="A45" s="7" t="s">
        <v>301</v>
      </c>
      <c r="B45" s="7" t="s">
        <v>221</v>
      </c>
      <c r="C45" s="7" t="s">
        <v>97</v>
      </c>
      <c r="D45" s="7" t="s">
        <v>303</v>
      </c>
      <c r="E45" s="7" t="s">
        <v>294</v>
      </c>
      <c r="F45" s="16" t="s">
        <v>32</v>
      </c>
      <c r="G45" s="16" t="s">
        <v>50</v>
      </c>
      <c r="H45" s="14"/>
      <c r="I45" s="15"/>
      <c r="J45" s="14"/>
      <c r="K45" s="14" t="s">
        <v>100</v>
      </c>
      <c r="L45" s="14"/>
      <c r="M45" s="14"/>
    </row>
    <row r="46" ht="15.75" customHeight="1">
      <c r="A46" s="12" t="s">
        <v>305</v>
      </c>
      <c r="B46" s="12" t="s">
        <v>221</v>
      </c>
      <c r="C46" s="12" t="s">
        <v>306</v>
      </c>
      <c r="D46" s="12" t="s">
        <v>307</v>
      </c>
      <c r="E46" s="12" t="s">
        <v>308</v>
      </c>
      <c r="F46" s="13" t="s">
        <v>32</v>
      </c>
      <c r="G46" s="13" t="s">
        <v>47</v>
      </c>
      <c r="H46" s="14"/>
      <c r="I46" s="15"/>
      <c r="J46" s="14"/>
      <c r="K46" s="14" t="s">
        <v>100</v>
      </c>
      <c r="L46" s="14"/>
      <c r="M46" s="14"/>
    </row>
    <row r="47" ht="15.75" customHeight="1">
      <c r="A47" s="7" t="s">
        <v>149</v>
      </c>
      <c r="B47" s="7" t="s">
        <v>221</v>
      </c>
      <c r="C47" s="7" t="s">
        <v>309</v>
      </c>
      <c r="D47" s="7" t="s">
        <v>310</v>
      </c>
      <c r="E47" s="7" t="s">
        <v>311</v>
      </c>
      <c r="F47" s="16" t="s">
        <v>32</v>
      </c>
      <c r="G47" s="16" t="s">
        <v>47</v>
      </c>
      <c r="H47" s="14"/>
      <c r="I47" s="15"/>
      <c r="J47" s="14"/>
      <c r="K47" s="14" t="s">
        <v>100</v>
      </c>
      <c r="L47" s="14"/>
      <c r="M47" s="14"/>
    </row>
    <row r="48" ht="15.75" customHeight="1">
      <c r="A48" s="12" t="s">
        <v>185</v>
      </c>
      <c r="B48" s="12" t="s">
        <v>221</v>
      </c>
      <c r="C48" s="12" t="s">
        <v>306</v>
      </c>
      <c r="D48" s="12" t="s">
        <v>314</v>
      </c>
      <c r="E48" s="12" t="s">
        <v>315</v>
      </c>
      <c r="F48" s="13" t="s">
        <v>32</v>
      </c>
      <c r="G48" s="13" t="s">
        <v>47</v>
      </c>
      <c r="H48" s="14"/>
      <c r="I48" s="15"/>
      <c r="J48" s="14"/>
      <c r="K48" s="14" t="s">
        <v>100</v>
      </c>
      <c r="L48" s="14"/>
      <c r="M48" s="14"/>
    </row>
    <row r="49" ht="15.75" customHeight="1">
      <c r="A49" s="7" t="s">
        <v>316</v>
      </c>
      <c r="B49" s="7" t="s">
        <v>221</v>
      </c>
      <c r="C49" s="7" t="s">
        <v>317</v>
      </c>
      <c r="D49" s="7" t="s">
        <v>318</v>
      </c>
      <c r="E49" s="7" t="s">
        <v>319</v>
      </c>
      <c r="F49" s="16" t="s">
        <v>32</v>
      </c>
      <c r="G49" s="16" t="s">
        <v>50</v>
      </c>
      <c r="H49" s="14"/>
      <c r="I49" s="15"/>
      <c r="J49" s="14"/>
      <c r="K49" s="14" t="s">
        <v>100</v>
      </c>
      <c r="L49" s="14"/>
      <c r="M49" s="14"/>
    </row>
    <row r="50" ht="15.75" customHeight="1">
      <c r="A50" s="12" t="s">
        <v>322</v>
      </c>
      <c r="B50" s="12" t="s">
        <v>221</v>
      </c>
      <c r="C50" s="12" t="s">
        <v>306</v>
      </c>
      <c r="D50" s="12" t="s">
        <v>323</v>
      </c>
      <c r="E50" s="12" t="s">
        <v>324</v>
      </c>
      <c r="F50" s="13" t="s">
        <v>35</v>
      </c>
      <c r="G50" s="13" t="s">
        <v>67</v>
      </c>
      <c r="H50" s="14"/>
      <c r="I50" s="15"/>
      <c r="J50" s="14"/>
      <c r="K50" s="14" t="s">
        <v>100</v>
      </c>
      <c r="L50" s="14"/>
      <c r="M50" s="14"/>
    </row>
    <row r="51" ht="15.75" customHeight="1">
      <c r="A51" s="7" t="s">
        <v>325</v>
      </c>
      <c r="B51" s="7" t="s">
        <v>221</v>
      </c>
      <c r="C51" s="7" t="s">
        <v>306</v>
      </c>
      <c r="D51" s="7" t="s">
        <v>326</v>
      </c>
      <c r="E51" s="7" t="s">
        <v>327</v>
      </c>
      <c r="F51" s="16" t="s">
        <v>38</v>
      </c>
      <c r="G51" s="16" t="s">
        <v>50</v>
      </c>
      <c r="H51" s="14"/>
      <c r="I51" s="15"/>
      <c r="J51" s="14"/>
      <c r="K51" s="14" t="s">
        <v>100</v>
      </c>
      <c r="L51" s="14"/>
      <c r="M51" s="14"/>
    </row>
    <row r="52" ht="15.75" customHeight="1">
      <c r="A52" s="12" t="s">
        <v>330</v>
      </c>
      <c r="B52" s="12" t="s">
        <v>221</v>
      </c>
      <c r="C52" s="12" t="s">
        <v>97</v>
      </c>
      <c r="D52" s="12" t="s">
        <v>331</v>
      </c>
      <c r="E52" s="12" t="s">
        <v>332</v>
      </c>
      <c r="F52" s="13" t="s">
        <v>35</v>
      </c>
      <c r="G52" s="13" t="s">
        <v>47</v>
      </c>
      <c r="H52" s="14"/>
      <c r="I52" s="15"/>
      <c r="J52" s="14"/>
      <c r="K52" s="14" t="s">
        <v>100</v>
      </c>
      <c r="L52" s="14"/>
      <c r="M52" s="14"/>
    </row>
    <row r="53" ht="15.75" customHeight="1">
      <c r="A53" s="7" t="s">
        <v>333</v>
      </c>
      <c r="B53" s="7" t="s">
        <v>221</v>
      </c>
      <c r="C53" s="7" t="s">
        <v>309</v>
      </c>
      <c r="D53" s="7" t="s">
        <v>334</v>
      </c>
      <c r="E53" s="7" t="s">
        <v>335</v>
      </c>
      <c r="F53" s="16" t="s">
        <v>35</v>
      </c>
      <c r="G53" s="16" t="s">
        <v>62</v>
      </c>
      <c r="H53" s="14"/>
      <c r="I53" s="15"/>
      <c r="J53" s="14"/>
      <c r="K53" s="14" t="s">
        <v>100</v>
      </c>
      <c r="L53" s="14"/>
      <c r="M53" s="14"/>
    </row>
    <row r="54" ht="15.75" customHeight="1">
      <c r="A54" s="12" t="s">
        <v>336</v>
      </c>
      <c r="B54" s="12" t="s">
        <v>237</v>
      </c>
      <c r="C54" s="12" t="s">
        <v>337</v>
      </c>
      <c r="D54" s="12" t="s">
        <v>338</v>
      </c>
      <c r="E54" s="12" t="s">
        <v>339</v>
      </c>
      <c r="F54" s="13" t="s">
        <v>32</v>
      </c>
      <c r="G54" s="13" t="s">
        <v>50</v>
      </c>
      <c r="H54" s="14"/>
      <c r="I54" s="15"/>
      <c r="J54" s="14"/>
      <c r="K54" s="14" t="s">
        <v>100</v>
      </c>
      <c r="L54" s="14"/>
      <c r="M54" s="14"/>
    </row>
    <row r="55" ht="15.75" customHeight="1">
      <c r="A55" s="7" t="s">
        <v>340</v>
      </c>
      <c r="B55" s="7" t="s">
        <v>237</v>
      </c>
      <c r="C55" s="7" t="s">
        <v>337</v>
      </c>
      <c r="D55" s="7" t="s">
        <v>341</v>
      </c>
      <c r="E55" s="7" t="s">
        <v>342</v>
      </c>
      <c r="F55" s="16" t="s">
        <v>32</v>
      </c>
      <c r="G55" s="16" t="s">
        <v>50</v>
      </c>
      <c r="H55" s="14"/>
      <c r="I55" s="15"/>
      <c r="J55" s="14"/>
      <c r="K55" s="14" t="s">
        <v>100</v>
      </c>
      <c r="L55" s="14"/>
      <c r="M55" s="14"/>
    </row>
    <row r="56" ht="15.75" customHeight="1">
      <c r="A56" s="12" t="s">
        <v>343</v>
      </c>
      <c r="B56" s="12" t="s">
        <v>237</v>
      </c>
      <c r="C56" s="12" t="s">
        <v>337</v>
      </c>
      <c r="D56" s="12" t="s">
        <v>344</v>
      </c>
      <c r="E56" s="12" t="s">
        <v>345</v>
      </c>
      <c r="F56" s="13" t="s">
        <v>32</v>
      </c>
      <c r="G56" s="13" t="s">
        <v>50</v>
      </c>
      <c r="H56" s="14"/>
      <c r="I56" s="15"/>
      <c r="J56" s="14"/>
      <c r="K56" s="14" t="s">
        <v>100</v>
      </c>
      <c r="L56" s="14"/>
      <c r="M56" s="14"/>
    </row>
    <row r="57" ht="15.75" customHeight="1">
      <c r="A57" s="7" t="s">
        <v>346</v>
      </c>
      <c r="B57" s="7" t="s">
        <v>237</v>
      </c>
      <c r="C57" s="7" t="s">
        <v>337</v>
      </c>
      <c r="D57" s="7" t="s">
        <v>347</v>
      </c>
      <c r="E57" s="7" t="s">
        <v>339</v>
      </c>
      <c r="F57" s="16" t="s">
        <v>32</v>
      </c>
      <c r="G57" s="16" t="s">
        <v>50</v>
      </c>
      <c r="H57" s="14"/>
      <c r="I57" s="15"/>
      <c r="J57" s="14"/>
      <c r="K57" s="14" t="s">
        <v>100</v>
      </c>
      <c r="L57" s="14"/>
      <c r="M57" s="14"/>
    </row>
    <row r="58" ht="15.75" customHeight="1">
      <c r="A58" s="12" t="s">
        <v>348</v>
      </c>
      <c r="B58" s="12" t="s">
        <v>237</v>
      </c>
      <c r="C58" s="12" t="s">
        <v>337</v>
      </c>
      <c r="D58" s="12" t="s">
        <v>349</v>
      </c>
      <c r="E58" s="12" t="s">
        <v>339</v>
      </c>
      <c r="F58" s="13" t="s">
        <v>32</v>
      </c>
      <c r="G58" s="13" t="s">
        <v>50</v>
      </c>
      <c r="H58" s="14"/>
      <c r="I58" s="15"/>
      <c r="J58" s="14"/>
      <c r="K58" s="14" t="s">
        <v>100</v>
      </c>
      <c r="L58" s="14"/>
      <c r="M58" s="14"/>
    </row>
    <row r="59" ht="15.75" customHeight="1">
      <c r="A59" s="7" t="s">
        <v>350</v>
      </c>
      <c r="B59" s="7" t="s">
        <v>237</v>
      </c>
      <c r="C59" s="7" t="s">
        <v>337</v>
      </c>
      <c r="D59" s="7" t="s">
        <v>351</v>
      </c>
      <c r="E59" s="7" t="s">
        <v>339</v>
      </c>
      <c r="F59" s="16" t="s">
        <v>32</v>
      </c>
      <c r="G59" s="16" t="s">
        <v>50</v>
      </c>
      <c r="H59" s="14"/>
      <c r="I59" s="15"/>
      <c r="J59" s="14"/>
      <c r="K59" s="14" t="s">
        <v>100</v>
      </c>
      <c r="L59" s="14"/>
      <c r="M59" s="14"/>
    </row>
    <row r="60" ht="15.75" customHeight="1">
      <c r="A60" s="12" t="s">
        <v>352</v>
      </c>
      <c r="B60" s="12" t="s">
        <v>237</v>
      </c>
      <c r="C60" s="12" t="s">
        <v>337</v>
      </c>
      <c r="D60" s="12" t="s">
        <v>353</v>
      </c>
      <c r="E60" s="12" t="s">
        <v>339</v>
      </c>
      <c r="F60" s="13" t="s">
        <v>32</v>
      </c>
      <c r="G60" s="13" t="s">
        <v>50</v>
      </c>
      <c r="H60" s="14"/>
      <c r="I60" s="15"/>
      <c r="J60" s="14"/>
      <c r="K60" s="14" t="s">
        <v>100</v>
      </c>
      <c r="L60" s="14"/>
      <c r="M60" s="14"/>
    </row>
    <row r="61" ht="15.75" customHeight="1">
      <c r="A61" s="7" t="s">
        <v>354</v>
      </c>
      <c r="B61" s="7" t="s">
        <v>237</v>
      </c>
      <c r="C61" s="7" t="s">
        <v>337</v>
      </c>
      <c r="D61" s="7" t="s">
        <v>355</v>
      </c>
      <c r="E61" s="7" t="s">
        <v>342</v>
      </c>
      <c r="F61" s="16" t="s">
        <v>35</v>
      </c>
      <c r="G61" s="16" t="s">
        <v>50</v>
      </c>
      <c r="H61" s="14"/>
      <c r="I61" s="15"/>
      <c r="J61" s="14"/>
      <c r="K61" s="14" t="s">
        <v>100</v>
      </c>
      <c r="L61" s="14"/>
      <c r="M61" s="14"/>
    </row>
    <row r="62" ht="15.75" customHeight="1">
      <c r="A62" s="12" t="s">
        <v>356</v>
      </c>
      <c r="B62" s="12" t="s">
        <v>237</v>
      </c>
      <c r="C62" s="12" t="s">
        <v>337</v>
      </c>
      <c r="D62" s="12" t="s">
        <v>357</v>
      </c>
      <c r="E62" s="12" t="s">
        <v>339</v>
      </c>
      <c r="F62" s="13" t="s">
        <v>35</v>
      </c>
      <c r="G62" s="13" t="s">
        <v>50</v>
      </c>
      <c r="H62" s="14"/>
      <c r="I62" s="15"/>
      <c r="J62" s="14"/>
      <c r="K62" s="14" t="s">
        <v>100</v>
      </c>
      <c r="L62" s="14"/>
      <c r="M62" s="14"/>
    </row>
    <row r="63" ht="15.75" customHeight="1">
      <c r="A63" s="7" t="s">
        <v>358</v>
      </c>
      <c r="B63" s="7" t="s">
        <v>237</v>
      </c>
      <c r="C63" s="7" t="s">
        <v>337</v>
      </c>
      <c r="D63" s="7" t="s">
        <v>359</v>
      </c>
      <c r="E63" s="7" t="s">
        <v>339</v>
      </c>
      <c r="F63" s="16" t="s">
        <v>32</v>
      </c>
      <c r="G63" s="16" t="s">
        <v>50</v>
      </c>
      <c r="H63" s="14"/>
      <c r="I63" s="15"/>
      <c r="J63" s="14"/>
      <c r="K63" s="14" t="s">
        <v>100</v>
      </c>
      <c r="L63" s="14"/>
      <c r="M63" s="14"/>
    </row>
    <row r="64" ht="15.75" customHeight="1">
      <c r="A64" s="12" t="s">
        <v>360</v>
      </c>
      <c r="B64" s="12" t="s">
        <v>237</v>
      </c>
      <c r="C64" s="12" t="s">
        <v>337</v>
      </c>
      <c r="D64" s="12" t="s">
        <v>361</v>
      </c>
      <c r="E64" s="12" t="s">
        <v>339</v>
      </c>
      <c r="F64" s="13" t="s">
        <v>32</v>
      </c>
      <c r="G64" s="13" t="s">
        <v>50</v>
      </c>
      <c r="H64" s="14"/>
      <c r="I64" s="15"/>
      <c r="J64" s="14"/>
      <c r="K64" s="14" t="s">
        <v>100</v>
      </c>
      <c r="L64" s="14"/>
      <c r="M64" s="14"/>
    </row>
    <row r="65" ht="15.75" customHeight="1">
      <c r="A65" s="7" t="s">
        <v>362</v>
      </c>
      <c r="B65" s="7" t="s">
        <v>237</v>
      </c>
      <c r="C65" s="7" t="s">
        <v>337</v>
      </c>
      <c r="D65" s="7" t="s">
        <v>363</v>
      </c>
      <c r="E65" s="7" t="s">
        <v>339</v>
      </c>
      <c r="F65" s="16" t="s">
        <v>32</v>
      </c>
      <c r="G65" s="16" t="s">
        <v>50</v>
      </c>
      <c r="H65" s="14"/>
      <c r="I65" s="15"/>
      <c r="J65" s="14"/>
      <c r="K65" s="14" t="s">
        <v>100</v>
      </c>
      <c r="L65" s="14"/>
      <c r="M65" s="14"/>
    </row>
    <row r="66" ht="15.75" customHeight="1">
      <c r="A66" s="12" t="s">
        <v>364</v>
      </c>
      <c r="B66" s="12" t="s">
        <v>237</v>
      </c>
      <c r="C66" s="12" t="s">
        <v>337</v>
      </c>
      <c r="D66" s="12" t="s">
        <v>365</v>
      </c>
      <c r="E66" s="12" t="s">
        <v>339</v>
      </c>
      <c r="F66" s="13" t="s">
        <v>32</v>
      </c>
      <c r="G66" s="13" t="s">
        <v>50</v>
      </c>
      <c r="H66" s="14"/>
      <c r="I66" s="15"/>
      <c r="J66" s="14"/>
      <c r="K66" s="14" t="s">
        <v>100</v>
      </c>
      <c r="L66" s="14"/>
      <c r="M66" s="14"/>
    </row>
    <row r="67" ht="15.75" customHeight="1">
      <c r="A67" s="7" t="s">
        <v>368</v>
      </c>
      <c r="B67" s="7" t="s">
        <v>237</v>
      </c>
      <c r="C67" s="7" t="s">
        <v>337</v>
      </c>
      <c r="D67" s="7" t="s">
        <v>369</v>
      </c>
      <c r="E67" s="7" t="s">
        <v>339</v>
      </c>
      <c r="F67" s="16" t="s">
        <v>32</v>
      </c>
      <c r="G67" s="16" t="s">
        <v>50</v>
      </c>
      <c r="H67" s="14"/>
      <c r="I67" s="15"/>
      <c r="J67" s="14"/>
      <c r="K67" s="14" t="s">
        <v>100</v>
      </c>
      <c r="L67" s="14"/>
      <c r="M67" s="14"/>
    </row>
    <row r="68" ht="15.75" customHeight="1">
      <c r="A68" s="12" t="s">
        <v>371</v>
      </c>
      <c r="B68" s="12" t="s">
        <v>237</v>
      </c>
      <c r="C68" s="12" t="s">
        <v>337</v>
      </c>
      <c r="D68" s="12" t="s">
        <v>372</v>
      </c>
      <c r="E68" s="12" t="s">
        <v>339</v>
      </c>
      <c r="F68" s="13" t="s">
        <v>32</v>
      </c>
      <c r="G68" s="13" t="s">
        <v>50</v>
      </c>
      <c r="H68" s="14"/>
      <c r="I68" s="15"/>
      <c r="J68" s="14"/>
      <c r="K68" s="14" t="s">
        <v>100</v>
      </c>
      <c r="L68" s="14"/>
      <c r="M68" s="14"/>
    </row>
    <row r="69" ht="15.75" customHeight="1">
      <c r="A69" s="7" t="s">
        <v>373</v>
      </c>
      <c r="B69" s="7" t="s">
        <v>237</v>
      </c>
      <c r="C69" s="7" t="s">
        <v>337</v>
      </c>
      <c r="D69" s="7" t="s">
        <v>374</v>
      </c>
      <c r="E69" s="7" t="s">
        <v>339</v>
      </c>
      <c r="F69" s="16" t="s">
        <v>32</v>
      </c>
      <c r="G69" s="16" t="s">
        <v>50</v>
      </c>
      <c r="H69" s="14"/>
      <c r="I69" s="15"/>
      <c r="J69" s="14"/>
      <c r="K69" s="14" t="s">
        <v>100</v>
      </c>
      <c r="L69" s="14"/>
      <c r="M69" s="14"/>
    </row>
    <row r="70" ht="15.75" customHeight="1">
      <c r="A70" s="12" t="s">
        <v>375</v>
      </c>
      <c r="B70" s="12" t="s">
        <v>237</v>
      </c>
      <c r="C70" s="12" t="s">
        <v>337</v>
      </c>
      <c r="D70" s="12" t="s">
        <v>376</v>
      </c>
      <c r="E70" s="12" t="s">
        <v>339</v>
      </c>
      <c r="F70" s="13" t="s">
        <v>32</v>
      </c>
      <c r="G70" s="13" t="s">
        <v>50</v>
      </c>
      <c r="H70" s="14"/>
      <c r="I70" s="15"/>
      <c r="J70" s="14"/>
      <c r="K70" s="14" t="s">
        <v>100</v>
      </c>
      <c r="L70" s="14"/>
      <c r="M70" s="14"/>
    </row>
    <row r="71" ht="15.75" customHeight="1">
      <c r="A71" s="7" t="s">
        <v>377</v>
      </c>
      <c r="B71" s="7" t="s">
        <v>237</v>
      </c>
      <c r="C71" s="7" t="s">
        <v>337</v>
      </c>
      <c r="D71" s="7" t="s">
        <v>378</v>
      </c>
      <c r="E71" s="7" t="s">
        <v>339</v>
      </c>
      <c r="F71" s="16" t="s">
        <v>32</v>
      </c>
      <c r="G71" s="16" t="s">
        <v>50</v>
      </c>
      <c r="H71" s="14"/>
      <c r="I71" s="15"/>
      <c r="J71" s="14"/>
      <c r="K71" s="14" t="s">
        <v>100</v>
      </c>
      <c r="L71" s="14"/>
      <c r="M71" s="14"/>
    </row>
    <row r="72" ht="15.75" customHeight="1">
      <c r="A72" s="12" t="s">
        <v>379</v>
      </c>
      <c r="B72" s="12" t="s">
        <v>237</v>
      </c>
      <c r="C72" s="12" t="s">
        <v>337</v>
      </c>
      <c r="D72" s="12" t="s">
        <v>380</v>
      </c>
      <c r="E72" s="12" t="s">
        <v>339</v>
      </c>
      <c r="F72" s="13" t="s">
        <v>32</v>
      </c>
      <c r="G72" s="13" t="s">
        <v>50</v>
      </c>
      <c r="H72" s="14"/>
      <c r="I72" s="15"/>
      <c r="J72" s="14"/>
      <c r="K72" s="14" t="s">
        <v>100</v>
      </c>
      <c r="L72" s="14"/>
      <c r="M72" s="14"/>
    </row>
    <row r="73" ht="15.75" customHeight="1">
      <c r="A73" s="7" t="s">
        <v>381</v>
      </c>
      <c r="B73" s="7" t="s">
        <v>237</v>
      </c>
      <c r="C73" s="7" t="s">
        <v>337</v>
      </c>
      <c r="D73" s="7" t="s">
        <v>382</v>
      </c>
      <c r="E73" s="7" t="s">
        <v>339</v>
      </c>
      <c r="F73" s="16" t="s">
        <v>35</v>
      </c>
      <c r="G73" s="16" t="s">
        <v>50</v>
      </c>
      <c r="H73" s="14"/>
      <c r="I73" s="15"/>
      <c r="J73" s="14"/>
      <c r="K73" s="14" t="s">
        <v>100</v>
      </c>
      <c r="L73" s="14"/>
      <c r="M73" s="14"/>
    </row>
    <row r="74" ht="15.75" customHeight="1">
      <c r="A74" s="12" t="s">
        <v>383</v>
      </c>
      <c r="B74" s="12" t="s">
        <v>237</v>
      </c>
      <c r="C74" s="12" t="s">
        <v>337</v>
      </c>
      <c r="D74" s="12" t="s">
        <v>384</v>
      </c>
      <c r="E74" s="12" t="s">
        <v>339</v>
      </c>
      <c r="F74" s="13" t="s">
        <v>32</v>
      </c>
      <c r="G74" s="13" t="s">
        <v>50</v>
      </c>
      <c r="H74" s="14"/>
      <c r="I74" s="15"/>
      <c r="J74" s="14"/>
      <c r="K74" s="14" t="s">
        <v>100</v>
      </c>
      <c r="L74" s="14"/>
      <c r="M74" s="14"/>
    </row>
    <row r="75" ht="15.75" customHeight="1">
      <c r="A75" s="7" t="s">
        <v>385</v>
      </c>
      <c r="B75" s="7" t="s">
        <v>237</v>
      </c>
      <c r="C75" s="7" t="s">
        <v>337</v>
      </c>
      <c r="D75" s="7" t="s">
        <v>386</v>
      </c>
      <c r="E75" s="7" t="s">
        <v>342</v>
      </c>
      <c r="F75" s="16" t="s">
        <v>32</v>
      </c>
      <c r="G75" s="16" t="s">
        <v>50</v>
      </c>
      <c r="H75" s="14"/>
      <c r="I75" s="15"/>
      <c r="J75" s="14"/>
      <c r="K75" s="14" t="s">
        <v>100</v>
      </c>
      <c r="L75" s="14"/>
      <c r="M75" s="14"/>
    </row>
    <row r="76" ht="15.75" customHeight="1">
      <c r="A76" s="12" t="s">
        <v>387</v>
      </c>
      <c r="B76" s="12" t="s">
        <v>237</v>
      </c>
      <c r="C76" s="12" t="s">
        <v>337</v>
      </c>
      <c r="D76" s="12" t="s">
        <v>388</v>
      </c>
      <c r="E76" s="12" t="s">
        <v>389</v>
      </c>
      <c r="F76" s="13" t="s">
        <v>32</v>
      </c>
      <c r="G76" s="13" t="s">
        <v>50</v>
      </c>
      <c r="H76" s="14"/>
      <c r="I76" s="15"/>
      <c r="J76" s="14"/>
      <c r="K76" s="14" t="s">
        <v>100</v>
      </c>
      <c r="L76" s="14"/>
      <c r="M76" s="14"/>
    </row>
    <row r="77" ht="15.75" customHeight="1">
      <c r="A77" s="7" t="s">
        <v>390</v>
      </c>
      <c r="B77" s="7" t="s">
        <v>237</v>
      </c>
      <c r="C77" s="7" t="s">
        <v>337</v>
      </c>
      <c r="D77" s="7" t="s">
        <v>391</v>
      </c>
      <c r="E77" s="7" t="s">
        <v>339</v>
      </c>
      <c r="F77" s="16" t="s">
        <v>32</v>
      </c>
      <c r="G77" s="16" t="s">
        <v>50</v>
      </c>
      <c r="H77" s="14"/>
      <c r="I77" s="15"/>
      <c r="J77" s="14"/>
      <c r="K77" s="14" t="s">
        <v>100</v>
      </c>
      <c r="L77" s="14"/>
      <c r="M77" s="14"/>
    </row>
    <row r="78" ht="15.75" customHeight="1">
      <c r="A78" s="12" t="s">
        <v>392</v>
      </c>
      <c r="B78" s="12" t="s">
        <v>237</v>
      </c>
      <c r="C78" s="12" t="s">
        <v>337</v>
      </c>
      <c r="D78" s="12" t="s">
        <v>393</v>
      </c>
      <c r="E78" s="12" t="s">
        <v>339</v>
      </c>
      <c r="F78" s="13" t="s">
        <v>32</v>
      </c>
      <c r="G78" s="13" t="s">
        <v>50</v>
      </c>
      <c r="H78" s="14"/>
      <c r="I78" s="15"/>
      <c r="J78" s="14"/>
      <c r="K78" s="14" t="s">
        <v>100</v>
      </c>
      <c r="L78" s="14"/>
      <c r="M78" s="14"/>
    </row>
    <row r="79" ht="15.75" customHeight="1">
      <c r="A79" s="7" t="s">
        <v>394</v>
      </c>
      <c r="B79" s="7" t="s">
        <v>237</v>
      </c>
      <c r="C79" s="7" t="s">
        <v>337</v>
      </c>
      <c r="D79" s="7" t="s">
        <v>395</v>
      </c>
      <c r="E79" s="7" t="s">
        <v>339</v>
      </c>
      <c r="F79" s="16" t="s">
        <v>32</v>
      </c>
      <c r="G79" s="16" t="s">
        <v>50</v>
      </c>
      <c r="H79" s="14"/>
      <c r="I79" s="15"/>
      <c r="J79" s="14"/>
      <c r="K79" s="14" t="s">
        <v>100</v>
      </c>
      <c r="L79" s="14"/>
      <c r="M79" s="14"/>
    </row>
    <row r="80" ht="15.75" customHeight="1">
      <c r="A80" s="12" t="s">
        <v>396</v>
      </c>
      <c r="B80" s="12" t="s">
        <v>237</v>
      </c>
      <c r="C80" s="12" t="s">
        <v>337</v>
      </c>
      <c r="D80" s="12" t="s">
        <v>397</v>
      </c>
      <c r="E80" s="12" t="s">
        <v>339</v>
      </c>
      <c r="F80" s="13" t="s">
        <v>32</v>
      </c>
      <c r="G80" s="13" t="s">
        <v>50</v>
      </c>
      <c r="H80" s="14"/>
      <c r="I80" s="15"/>
      <c r="J80" s="14"/>
      <c r="K80" s="14" t="s">
        <v>100</v>
      </c>
      <c r="L80" s="14"/>
      <c r="M80" s="14"/>
    </row>
    <row r="81" ht="15.75" customHeight="1">
      <c r="A81" s="7" t="s">
        <v>398</v>
      </c>
      <c r="B81" s="7" t="s">
        <v>237</v>
      </c>
      <c r="C81" s="7" t="s">
        <v>337</v>
      </c>
      <c r="D81" s="7" t="s">
        <v>399</v>
      </c>
      <c r="E81" s="7" t="s">
        <v>339</v>
      </c>
      <c r="F81" s="16" t="s">
        <v>35</v>
      </c>
      <c r="G81" s="16" t="s">
        <v>50</v>
      </c>
      <c r="H81" s="14"/>
      <c r="I81" s="15"/>
      <c r="J81" s="14"/>
      <c r="K81" s="14" t="s">
        <v>100</v>
      </c>
      <c r="L81" s="14"/>
      <c r="M81" s="14"/>
    </row>
    <row r="82" ht="15.75" customHeight="1">
      <c r="A82" s="12" t="s">
        <v>400</v>
      </c>
      <c r="B82" s="12" t="s">
        <v>237</v>
      </c>
      <c r="C82" s="12" t="s">
        <v>337</v>
      </c>
      <c r="D82" s="12" t="s">
        <v>401</v>
      </c>
      <c r="E82" s="12" t="s">
        <v>339</v>
      </c>
      <c r="F82" s="13" t="s">
        <v>32</v>
      </c>
      <c r="G82" s="13" t="s">
        <v>50</v>
      </c>
      <c r="H82" s="14"/>
      <c r="I82" s="15"/>
      <c r="J82" s="14"/>
      <c r="K82" s="14" t="s">
        <v>100</v>
      </c>
      <c r="L82" s="14"/>
      <c r="M82" s="14"/>
    </row>
    <row r="83" ht="15.75" customHeight="1">
      <c r="A83" s="7" t="s">
        <v>402</v>
      </c>
      <c r="B83" s="7" t="s">
        <v>237</v>
      </c>
      <c r="C83" s="7" t="s">
        <v>337</v>
      </c>
      <c r="D83" s="7" t="s">
        <v>403</v>
      </c>
      <c r="E83" s="7" t="s">
        <v>339</v>
      </c>
      <c r="F83" s="16" t="s">
        <v>32</v>
      </c>
      <c r="G83" s="16" t="s">
        <v>50</v>
      </c>
      <c r="H83" s="14"/>
      <c r="I83" s="15"/>
      <c r="J83" s="14"/>
      <c r="K83" s="14" t="s">
        <v>100</v>
      </c>
      <c r="L83" s="14"/>
      <c r="M83" s="14"/>
    </row>
    <row r="84" ht="15.75" customHeight="1">
      <c r="A84" s="12" t="s">
        <v>404</v>
      </c>
      <c r="B84" s="12" t="s">
        <v>237</v>
      </c>
      <c r="C84" s="12" t="s">
        <v>337</v>
      </c>
      <c r="D84" s="12" t="s">
        <v>405</v>
      </c>
      <c r="E84" s="12" t="s">
        <v>339</v>
      </c>
      <c r="F84" s="13" t="s">
        <v>32</v>
      </c>
      <c r="G84" s="13" t="s">
        <v>50</v>
      </c>
      <c r="H84" s="14"/>
      <c r="I84" s="15"/>
      <c r="J84" s="14"/>
      <c r="K84" s="14" t="s">
        <v>100</v>
      </c>
      <c r="L84" s="14"/>
      <c r="M84" s="14"/>
    </row>
    <row r="85" ht="15.75" customHeight="1">
      <c r="A85" s="7" t="s">
        <v>406</v>
      </c>
      <c r="B85" s="7" t="s">
        <v>237</v>
      </c>
      <c r="C85" s="7" t="s">
        <v>337</v>
      </c>
      <c r="D85" s="7" t="s">
        <v>407</v>
      </c>
      <c r="E85" s="7" t="s">
        <v>339</v>
      </c>
      <c r="F85" s="16" t="s">
        <v>32</v>
      </c>
      <c r="G85" s="16" t="s">
        <v>50</v>
      </c>
      <c r="H85" s="14"/>
      <c r="I85" s="15"/>
      <c r="J85" s="14"/>
      <c r="K85" s="14" t="s">
        <v>100</v>
      </c>
      <c r="L85" s="14"/>
      <c r="M85" s="14"/>
    </row>
    <row r="86" ht="15.75" customHeight="1">
      <c r="A86" s="12" t="s">
        <v>408</v>
      </c>
      <c r="B86" s="12" t="s">
        <v>237</v>
      </c>
      <c r="C86" s="12" t="s">
        <v>337</v>
      </c>
      <c r="D86" s="12" t="s">
        <v>409</v>
      </c>
      <c r="E86" s="12" t="s">
        <v>339</v>
      </c>
      <c r="F86" s="13" t="s">
        <v>32</v>
      </c>
      <c r="G86" s="13" t="s">
        <v>50</v>
      </c>
      <c r="H86" s="14"/>
      <c r="I86" s="15"/>
      <c r="J86" s="14"/>
      <c r="K86" s="14" t="s">
        <v>100</v>
      </c>
      <c r="L86" s="14"/>
      <c r="M86" s="14"/>
    </row>
    <row r="87" ht="15.75" customHeight="1">
      <c r="A87" s="7" t="s">
        <v>151</v>
      </c>
      <c r="B87" s="7" t="s">
        <v>265</v>
      </c>
      <c r="C87" s="7" t="s">
        <v>410</v>
      </c>
      <c r="D87" s="7" t="s">
        <v>411</v>
      </c>
      <c r="E87" s="7" t="s">
        <v>412</v>
      </c>
      <c r="F87" s="16" t="s">
        <v>32</v>
      </c>
      <c r="G87" s="16" t="s">
        <v>47</v>
      </c>
      <c r="H87" s="14"/>
      <c r="I87" s="15"/>
      <c r="J87" s="14"/>
      <c r="K87" s="14" t="s">
        <v>100</v>
      </c>
      <c r="L87" s="14"/>
      <c r="M87" s="14"/>
    </row>
    <row r="88" ht="15.75" customHeight="1">
      <c r="A88" s="12" t="s">
        <v>413</v>
      </c>
      <c r="B88" s="12" t="s">
        <v>265</v>
      </c>
      <c r="C88" s="12" t="s">
        <v>41</v>
      </c>
      <c r="D88" s="12" t="s">
        <v>414</v>
      </c>
      <c r="E88" s="12" t="s">
        <v>412</v>
      </c>
      <c r="F88" s="13" t="s">
        <v>32</v>
      </c>
      <c r="G88" s="13" t="s">
        <v>47</v>
      </c>
      <c r="H88" s="14"/>
      <c r="I88" s="15"/>
      <c r="J88" s="14"/>
      <c r="K88" s="14" t="s">
        <v>100</v>
      </c>
      <c r="L88" s="14"/>
      <c r="M88" s="14"/>
    </row>
    <row r="89" ht="15.75" customHeight="1">
      <c r="A89" s="7" t="s">
        <v>415</v>
      </c>
      <c r="B89" s="7" t="s">
        <v>265</v>
      </c>
      <c r="C89" s="7" t="s">
        <v>416</v>
      </c>
      <c r="D89" s="7" t="s">
        <v>417</v>
      </c>
      <c r="E89" s="7" t="s">
        <v>418</v>
      </c>
      <c r="F89" s="16" t="s">
        <v>35</v>
      </c>
      <c r="G89" s="16" t="s">
        <v>47</v>
      </c>
      <c r="H89" s="14"/>
      <c r="I89" s="15"/>
      <c r="J89" s="14"/>
      <c r="K89" s="14" t="s">
        <v>100</v>
      </c>
      <c r="L89" s="14"/>
      <c r="M89" s="14"/>
    </row>
    <row r="90" ht="15.75" customHeight="1">
      <c r="A90" s="12" t="s">
        <v>419</v>
      </c>
      <c r="B90" s="12" t="s">
        <v>265</v>
      </c>
      <c r="C90" s="12" t="s">
        <v>420</v>
      </c>
      <c r="D90" s="12" t="s">
        <v>421</v>
      </c>
      <c r="E90" s="12" t="s">
        <v>422</v>
      </c>
      <c r="F90" s="13" t="s">
        <v>32</v>
      </c>
      <c r="G90" s="13" t="s">
        <v>47</v>
      </c>
      <c r="H90" s="14"/>
      <c r="I90" s="15"/>
      <c r="J90" s="14"/>
      <c r="K90" s="14" t="s">
        <v>100</v>
      </c>
      <c r="L90" s="14"/>
      <c r="M90" s="14"/>
    </row>
    <row r="91" ht="15.75" customHeight="1">
      <c r="A91" s="7" t="s">
        <v>423</v>
      </c>
      <c r="B91" s="7" t="s">
        <v>265</v>
      </c>
      <c r="C91" s="7" t="s">
        <v>420</v>
      </c>
      <c r="D91" s="7" t="s">
        <v>424</v>
      </c>
      <c r="E91" s="7" t="s">
        <v>425</v>
      </c>
      <c r="F91" s="16" t="s">
        <v>32</v>
      </c>
      <c r="G91" s="16" t="s">
        <v>47</v>
      </c>
      <c r="H91" s="14"/>
      <c r="I91" s="15"/>
      <c r="J91" s="14"/>
      <c r="K91" s="14" t="s">
        <v>100</v>
      </c>
      <c r="L91" s="14"/>
      <c r="M91" s="14"/>
    </row>
    <row r="92" ht="15.75" customHeight="1">
      <c r="A92" s="12" t="s">
        <v>426</v>
      </c>
      <c r="B92" s="12" t="s">
        <v>265</v>
      </c>
      <c r="C92" s="12" t="s">
        <v>420</v>
      </c>
      <c r="D92" s="12" t="s">
        <v>427</v>
      </c>
      <c r="E92" s="12" t="s">
        <v>428</v>
      </c>
      <c r="F92" s="13" t="s">
        <v>35</v>
      </c>
      <c r="G92" s="13" t="s">
        <v>67</v>
      </c>
      <c r="H92" s="14"/>
      <c r="I92" s="15"/>
      <c r="J92" s="14"/>
      <c r="K92" s="14" t="s">
        <v>100</v>
      </c>
      <c r="L92" s="14"/>
      <c r="M92" s="14"/>
    </row>
    <row r="93" ht="15.75" customHeight="1">
      <c r="A93" s="7" t="s">
        <v>429</v>
      </c>
      <c r="B93" s="7" t="s">
        <v>265</v>
      </c>
      <c r="C93" s="7" t="s">
        <v>41</v>
      </c>
      <c r="D93" s="7" t="s">
        <v>430</v>
      </c>
      <c r="E93" s="7" t="s">
        <v>431</v>
      </c>
      <c r="F93" s="16" t="s">
        <v>35</v>
      </c>
      <c r="G93" s="16" t="s">
        <v>67</v>
      </c>
      <c r="H93" s="14"/>
      <c r="I93" s="15"/>
      <c r="J93" s="14"/>
      <c r="K93" s="14" t="s">
        <v>100</v>
      </c>
      <c r="L93" s="14"/>
      <c r="M93" s="14"/>
    </row>
    <row r="94" ht="15.75" customHeight="1">
      <c r="A94" s="12" t="s">
        <v>432</v>
      </c>
      <c r="B94" s="12" t="s">
        <v>265</v>
      </c>
      <c r="C94" s="12" t="s">
        <v>28</v>
      </c>
      <c r="D94" s="12" t="s">
        <v>433</v>
      </c>
      <c r="E94" s="12" t="s">
        <v>434</v>
      </c>
      <c r="F94" s="13" t="s">
        <v>32</v>
      </c>
      <c r="G94" s="13" t="s">
        <v>47</v>
      </c>
      <c r="H94" s="14"/>
      <c r="I94" s="15"/>
      <c r="J94" s="14"/>
      <c r="K94" s="14" t="s">
        <v>100</v>
      </c>
      <c r="L94" s="14"/>
      <c r="M94" s="14"/>
    </row>
    <row r="95" ht="15.75" customHeight="1">
      <c r="A95" s="7" t="s">
        <v>435</v>
      </c>
      <c r="B95" s="7" t="s">
        <v>265</v>
      </c>
      <c r="C95" s="7" t="s">
        <v>28</v>
      </c>
      <c r="D95" s="7" t="s">
        <v>436</v>
      </c>
      <c r="E95" s="7" t="s">
        <v>437</v>
      </c>
      <c r="F95" s="16" t="s">
        <v>32</v>
      </c>
      <c r="G95" s="16" t="s">
        <v>50</v>
      </c>
      <c r="H95" s="14"/>
      <c r="I95" s="15"/>
      <c r="J95" s="14"/>
      <c r="K95" s="14" t="s">
        <v>100</v>
      </c>
      <c r="L95" s="14"/>
      <c r="M95" s="14"/>
    </row>
    <row r="96" ht="15.75" customHeight="1">
      <c r="A96" s="12" t="s">
        <v>438</v>
      </c>
      <c r="B96" s="12" t="s">
        <v>265</v>
      </c>
      <c r="C96" s="12" t="s">
        <v>41</v>
      </c>
      <c r="D96" s="12" t="s">
        <v>439</v>
      </c>
      <c r="E96" s="12" t="s">
        <v>440</v>
      </c>
      <c r="F96" s="13" t="s">
        <v>32</v>
      </c>
      <c r="G96" s="13" t="s">
        <v>62</v>
      </c>
      <c r="H96" s="14"/>
      <c r="I96" s="15"/>
      <c r="J96" s="14"/>
      <c r="K96" s="14" t="s">
        <v>100</v>
      </c>
      <c r="L96" s="14"/>
      <c r="M96" s="14"/>
    </row>
    <row r="97" ht="15.75" customHeight="1">
      <c r="A97" s="7" t="s">
        <v>441</v>
      </c>
      <c r="B97" s="7" t="s">
        <v>265</v>
      </c>
      <c r="C97" s="7" t="s">
        <v>442</v>
      </c>
      <c r="D97" s="7" t="s">
        <v>443</v>
      </c>
      <c r="E97" s="7" t="s">
        <v>444</v>
      </c>
      <c r="F97" s="16" t="s">
        <v>35</v>
      </c>
      <c r="G97" s="16" t="s">
        <v>62</v>
      </c>
      <c r="H97" s="14"/>
      <c r="I97" s="15"/>
      <c r="J97" s="14"/>
      <c r="K97" s="14" t="s">
        <v>100</v>
      </c>
      <c r="L97" s="14"/>
      <c r="M97" s="14"/>
    </row>
    <row r="98" ht="15.75" customHeight="1">
      <c r="A98" s="12" t="s">
        <v>445</v>
      </c>
      <c r="B98" s="12" t="s">
        <v>265</v>
      </c>
      <c r="C98" s="12" t="s">
        <v>446</v>
      </c>
      <c r="D98" s="12" t="s">
        <v>447</v>
      </c>
      <c r="E98" s="12" t="s">
        <v>448</v>
      </c>
      <c r="F98" s="13" t="s">
        <v>32</v>
      </c>
      <c r="G98" s="13" t="s">
        <v>47</v>
      </c>
      <c r="H98" s="14"/>
      <c r="I98" s="15"/>
      <c r="J98" s="14"/>
      <c r="K98" s="14" t="s">
        <v>100</v>
      </c>
      <c r="L98" s="14"/>
      <c r="M98" s="14"/>
    </row>
    <row r="99" ht="15.75" customHeight="1">
      <c r="A99" s="7" t="s">
        <v>449</v>
      </c>
      <c r="B99" s="7" t="s">
        <v>265</v>
      </c>
      <c r="C99" s="7" t="s">
        <v>450</v>
      </c>
      <c r="D99" s="7" t="s">
        <v>451</v>
      </c>
      <c r="E99" s="7" t="s">
        <v>452</v>
      </c>
      <c r="F99" s="16" t="s">
        <v>32</v>
      </c>
      <c r="G99" s="16" t="s">
        <v>56</v>
      </c>
      <c r="H99" s="14"/>
      <c r="I99" s="15"/>
      <c r="J99" s="14"/>
      <c r="K99" s="14" t="s">
        <v>100</v>
      </c>
      <c r="L99" s="14"/>
      <c r="M99" s="14"/>
    </row>
    <row r="100" ht="15.75" customHeight="1">
      <c r="A100" s="12" t="s">
        <v>453</v>
      </c>
      <c r="B100" s="12" t="s">
        <v>265</v>
      </c>
      <c r="C100" s="12" t="s">
        <v>450</v>
      </c>
      <c r="D100" s="12" t="s">
        <v>454</v>
      </c>
      <c r="E100" s="12" t="s">
        <v>455</v>
      </c>
      <c r="F100" s="13" t="s">
        <v>32</v>
      </c>
      <c r="G100" s="13" t="s">
        <v>56</v>
      </c>
      <c r="H100" s="14"/>
      <c r="I100" s="15"/>
      <c r="J100" s="14"/>
      <c r="K100" s="14" t="s">
        <v>100</v>
      </c>
      <c r="L100" s="14"/>
      <c r="M100" s="14"/>
    </row>
    <row r="101" ht="15.75" customHeight="1">
      <c r="A101" s="7" t="s">
        <v>456</v>
      </c>
      <c r="B101" s="7" t="s">
        <v>265</v>
      </c>
      <c r="C101" s="7" t="s">
        <v>457</v>
      </c>
      <c r="D101" s="7" t="s">
        <v>458</v>
      </c>
      <c r="E101" s="7" t="s">
        <v>459</v>
      </c>
      <c r="F101" s="16" t="s">
        <v>32</v>
      </c>
      <c r="G101" s="16" t="s">
        <v>47</v>
      </c>
      <c r="H101" s="14"/>
      <c r="I101" s="15"/>
      <c r="J101" s="14"/>
      <c r="K101" s="14" t="s">
        <v>100</v>
      </c>
      <c r="L101" s="14"/>
      <c r="M101" s="14"/>
    </row>
    <row r="102" ht="15.75" customHeight="1">
      <c r="A102" s="12" t="s">
        <v>460</v>
      </c>
      <c r="B102" s="12" t="s">
        <v>265</v>
      </c>
      <c r="C102" s="12" t="s">
        <v>41</v>
      </c>
      <c r="D102" s="12" t="s">
        <v>461</v>
      </c>
      <c r="E102" s="12" t="s">
        <v>462</v>
      </c>
      <c r="F102" s="13" t="s">
        <v>38</v>
      </c>
      <c r="G102" s="13" t="s">
        <v>67</v>
      </c>
      <c r="H102" s="14"/>
      <c r="I102" s="15"/>
      <c r="J102" s="14"/>
      <c r="K102" s="14" t="s">
        <v>100</v>
      </c>
      <c r="L102" s="14"/>
      <c r="M102" s="14"/>
    </row>
    <row r="103" ht="15.75" customHeight="1">
      <c r="A103" s="7" t="s">
        <v>463</v>
      </c>
      <c r="B103" s="7" t="s">
        <v>265</v>
      </c>
      <c r="C103" s="7" t="s">
        <v>464</v>
      </c>
      <c r="D103" s="7" t="s">
        <v>465</v>
      </c>
      <c r="E103" s="7" t="s">
        <v>327</v>
      </c>
      <c r="F103" s="16" t="s">
        <v>38</v>
      </c>
      <c r="G103" s="16" t="s">
        <v>47</v>
      </c>
      <c r="H103" s="14"/>
      <c r="I103" s="15"/>
      <c r="J103" s="14"/>
      <c r="K103" s="14" t="s">
        <v>100</v>
      </c>
      <c r="L103" s="14"/>
      <c r="M103" s="14"/>
    </row>
    <row r="104" ht="15.75" customHeight="1">
      <c r="A104" s="12" t="s">
        <v>466</v>
      </c>
      <c r="B104" s="12" t="s">
        <v>265</v>
      </c>
      <c r="C104" s="12" t="s">
        <v>467</v>
      </c>
      <c r="D104" s="12" t="s">
        <v>468</v>
      </c>
      <c r="E104" s="12" t="s">
        <v>469</v>
      </c>
      <c r="F104" s="13" t="s">
        <v>38</v>
      </c>
      <c r="G104" s="13" t="s">
        <v>47</v>
      </c>
      <c r="H104" s="14"/>
      <c r="I104" s="15"/>
      <c r="J104" s="14"/>
      <c r="K104" s="14" t="s">
        <v>100</v>
      </c>
      <c r="L104" s="14"/>
      <c r="M104" s="14"/>
    </row>
    <row r="105" ht="15.75" customHeight="1">
      <c r="A105" s="7" t="s">
        <v>470</v>
      </c>
      <c r="B105" s="7" t="s">
        <v>256</v>
      </c>
      <c r="C105" s="7" t="s">
        <v>471</v>
      </c>
      <c r="D105" s="7" t="s">
        <v>472</v>
      </c>
      <c r="E105" s="7" t="s">
        <v>473</v>
      </c>
      <c r="F105" s="16" t="s">
        <v>32</v>
      </c>
      <c r="G105" s="16" t="s">
        <v>47</v>
      </c>
      <c r="H105" s="14"/>
      <c r="I105" s="15"/>
      <c r="J105" s="14"/>
      <c r="K105" s="14" t="s">
        <v>100</v>
      </c>
      <c r="L105" s="14"/>
      <c r="M105" s="14"/>
    </row>
    <row r="106" ht="15.75" customHeight="1">
      <c r="A106" s="12" t="s">
        <v>153</v>
      </c>
      <c r="B106" s="12" t="s">
        <v>256</v>
      </c>
      <c r="C106" s="12" t="s">
        <v>474</v>
      </c>
      <c r="D106" s="12" t="s">
        <v>475</v>
      </c>
      <c r="E106" s="12" t="s">
        <v>476</v>
      </c>
      <c r="F106" s="13" t="s">
        <v>32</v>
      </c>
      <c r="G106" s="13" t="s">
        <v>47</v>
      </c>
      <c r="H106" s="14"/>
      <c r="I106" s="15"/>
      <c r="J106" s="14"/>
      <c r="K106" s="14" t="s">
        <v>100</v>
      </c>
      <c r="L106" s="14"/>
      <c r="M106" s="14"/>
    </row>
    <row r="107" ht="15.75" customHeight="1">
      <c r="A107" s="7" t="s">
        <v>477</v>
      </c>
      <c r="B107" s="7" t="s">
        <v>256</v>
      </c>
      <c r="C107" s="7" t="s">
        <v>478</v>
      </c>
      <c r="D107" s="7" t="s">
        <v>479</v>
      </c>
      <c r="E107" s="7" t="s">
        <v>480</v>
      </c>
      <c r="F107" s="16" t="s">
        <v>32</v>
      </c>
      <c r="G107" s="16" t="s">
        <v>47</v>
      </c>
      <c r="H107" s="14"/>
      <c r="I107" s="15"/>
      <c r="J107" s="14"/>
      <c r="K107" s="14" t="s">
        <v>100</v>
      </c>
      <c r="L107" s="14"/>
      <c r="M107" s="14"/>
    </row>
    <row r="108" ht="15.75" customHeight="1">
      <c r="A108" s="12" t="s">
        <v>481</v>
      </c>
      <c r="B108" s="12" t="s">
        <v>256</v>
      </c>
      <c r="C108" s="12" t="s">
        <v>482</v>
      </c>
      <c r="D108" s="12" t="s">
        <v>483</v>
      </c>
      <c r="E108" s="12" t="s">
        <v>484</v>
      </c>
      <c r="F108" s="13" t="s">
        <v>32</v>
      </c>
      <c r="G108" s="13" t="s">
        <v>67</v>
      </c>
      <c r="H108" s="14"/>
      <c r="I108" s="15"/>
      <c r="J108" s="14"/>
      <c r="K108" s="14" t="s">
        <v>100</v>
      </c>
      <c r="L108" s="14"/>
      <c r="M108" s="14"/>
    </row>
    <row r="109" ht="15.75" customHeight="1">
      <c r="A109" s="7" t="s">
        <v>485</v>
      </c>
      <c r="B109" s="7" t="s">
        <v>256</v>
      </c>
      <c r="C109" s="7" t="s">
        <v>486</v>
      </c>
      <c r="D109" s="7" t="s">
        <v>487</v>
      </c>
      <c r="E109" s="7" t="s">
        <v>488</v>
      </c>
      <c r="F109" s="16" t="s">
        <v>32</v>
      </c>
      <c r="G109" s="16" t="s">
        <v>47</v>
      </c>
      <c r="H109" s="14"/>
      <c r="I109" s="15"/>
      <c r="J109" s="14"/>
      <c r="K109" s="14" t="s">
        <v>100</v>
      </c>
      <c r="L109" s="14"/>
      <c r="M109" s="14"/>
    </row>
    <row r="110" ht="15.75" customHeight="1">
      <c r="A110" s="12" t="s">
        <v>489</v>
      </c>
      <c r="B110" s="12" t="s">
        <v>256</v>
      </c>
      <c r="C110" s="12" t="s">
        <v>490</v>
      </c>
      <c r="D110" s="12" t="s">
        <v>491</v>
      </c>
      <c r="E110" s="12" t="s">
        <v>492</v>
      </c>
      <c r="F110" s="13" t="s">
        <v>35</v>
      </c>
      <c r="G110" s="13" t="s">
        <v>47</v>
      </c>
      <c r="H110" s="14"/>
      <c r="I110" s="15"/>
      <c r="J110" s="14"/>
      <c r="K110" s="14" t="s">
        <v>100</v>
      </c>
      <c r="L110" s="14"/>
      <c r="M110" s="14"/>
    </row>
    <row r="111" ht="15.75" customHeight="1">
      <c r="A111" s="7" t="s">
        <v>493</v>
      </c>
      <c r="B111" s="7" t="s">
        <v>256</v>
      </c>
      <c r="C111" s="7" t="s">
        <v>494</v>
      </c>
      <c r="D111" s="7" t="s">
        <v>495</v>
      </c>
      <c r="E111" s="7" t="s">
        <v>496</v>
      </c>
      <c r="F111" s="16" t="s">
        <v>35</v>
      </c>
      <c r="G111" s="16" t="s">
        <v>47</v>
      </c>
      <c r="H111" s="14"/>
      <c r="I111" s="15"/>
      <c r="J111" s="14"/>
      <c r="K111" s="14" t="s">
        <v>100</v>
      </c>
      <c r="L111" s="14"/>
      <c r="M111" s="14"/>
    </row>
    <row r="112" ht="15.75" customHeight="1">
      <c r="A112" s="12" t="s">
        <v>497</v>
      </c>
      <c r="B112" s="12" t="s">
        <v>256</v>
      </c>
      <c r="C112" s="12" t="s">
        <v>498</v>
      </c>
      <c r="D112" s="12" t="s">
        <v>499</v>
      </c>
      <c r="E112" s="12" t="s">
        <v>500</v>
      </c>
      <c r="F112" s="13" t="s">
        <v>32</v>
      </c>
      <c r="G112" s="13" t="s">
        <v>50</v>
      </c>
      <c r="H112" s="14"/>
      <c r="I112" s="15"/>
      <c r="J112" s="14"/>
      <c r="K112" s="14" t="s">
        <v>100</v>
      </c>
      <c r="L112" s="14"/>
      <c r="M112" s="14"/>
    </row>
    <row r="113" ht="15.75" customHeight="1">
      <c r="A113" s="7" t="s">
        <v>501</v>
      </c>
      <c r="B113" s="7" t="s">
        <v>256</v>
      </c>
      <c r="C113" s="7" t="s">
        <v>502</v>
      </c>
      <c r="D113" s="7" t="s">
        <v>503</v>
      </c>
      <c r="E113" s="7" t="s">
        <v>504</v>
      </c>
      <c r="F113" s="16" t="s">
        <v>32</v>
      </c>
      <c r="G113" s="16" t="s">
        <v>56</v>
      </c>
      <c r="H113" s="14"/>
      <c r="I113" s="15"/>
      <c r="J113" s="14"/>
      <c r="K113" s="14" t="s">
        <v>100</v>
      </c>
      <c r="L113" s="14"/>
      <c r="M113" s="14"/>
    </row>
    <row r="114" ht="15.75" customHeight="1">
      <c r="A114" s="12" t="s">
        <v>505</v>
      </c>
      <c r="B114" s="12" t="s">
        <v>256</v>
      </c>
      <c r="C114" s="12" t="s">
        <v>502</v>
      </c>
      <c r="D114" s="12" t="s">
        <v>503</v>
      </c>
      <c r="E114" s="12" t="s">
        <v>506</v>
      </c>
      <c r="F114" s="13" t="s">
        <v>32</v>
      </c>
      <c r="G114" s="13" t="s">
        <v>56</v>
      </c>
      <c r="H114" s="14"/>
      <c r="I114" s="15"/>
      <c r="J114" s="14"/>
      <c r="K114" s="14" t="s">
        <v>100</v>
      </c>
      <c r="L114" s="14"/>
      <c r="M114" s="14"/>
    </row>
    <row r="115" ht="15.75" customHeight="1">
      <c r="A115" s="7" t="s">
        <v>507</v>
      </c>
      <c r="B115" s="7" t="s">
        <v>256</v>
      </c>
      <c r="C115" s="7" t="s">
        <v>508</v>
      </c>
      <c r="D115" s="7" t="s">
        <v>509</v>
      </c>
      <c r="E115" s="7" t="s">
        <v>510</v>
      </c>
      <c r="F115" s="16" t="s">
        <v>35</v>
      </c>
      <c r="G115" s="16" t="s">
        <v>47</v>
      </c>
      <c r="H115" s="14"/>
      <c r="I115" s="15"/>
      <c r="J115" s="14"/>
      <c r="K115" s="14" t="s">
        <v>100</v>
      </c>
      <c r="L115" s="14"/>
      <c r="M115" s="14"/>
    </row>
    <row r="116" ht="15.75" customHeight="1">
      <c r="A116" s="12" t="s">
        <v>511</v>
      </c>
      <c r="B116" s="12" t="s">
        <v>256</v>
      </c>
      <c r="C116" s="12" t="s">
        <v>512</v>
      </c>
      <c r="D116" s="12" t="s">
        <v>513</v>
      </c>
      <c r="E116" s="12" t="s">
        <v>514</v>
      </c>
      <c r="F116" s="13" t="s">
        <v>32</v>
      </c>
      <c r="G116" s="13" t="s">
        <v>47</v>
      </c>
      <c r="H116" s="14"/>
      <c r="I116" s="15"/>
      <c r="J116" s="14"/>
      <c r="K116" s="14" t="s">
        <v>100</v>
      </c>
      <c r="L116" s="14"/>
      <c r="M116" s="14"/>
    </row>
    <row r="117" ht="15.75" customHeight="1">
      <c r="A117" s="7" t="s">
        <v>515</v>
      </c>
      <c r="B117" s="7" t="s">
        <v>270</v>
      </c>
      <c r="C117" s="7" t="s">
        <v>516</v>
      </c>
      <c r="D117" s="7" t="s">
        <v>517</v>
      </c>
      <c r="E117" s="7" t="s">
        <v>120</v>
      </c>
      <c r="F117" s="16" t="s">
        <v>32</v>
      </c>
      <c r="G117" s="16" t="s">
        <v>47</v>
      </c>
      <c r="H117" s="14"/>
      <c r="I117" s="15"/>
      <c r="J117" s="14"/>
      <c r="K117" s="14" t="s">
        <v>100</v>
      </c>
      <c r="L117" s="14"/>
      <c r="M117" s="14"/>
    </row>
    <row r="118" ht="15.75" customHeight="1">
      <c r="A118" s="12" t="s">
        <v>518</v>
      </c>
      <c r="B118" s="12" t="s">
        <v>270</v>
      </c>
      <c r="C118" s="12" t="s">
        <v>516</v>
      </c>
      <c r="D118" s="12" t="s">
        <v>519</v>
      </c>
      <c r="E118" s="12" t="s">
        <v>520</v>
      </c>
      <c r="F118" s="13" t="s">
        <v>32</v>
      </c>
      <c r="G118" s="13" t="s">
        <v>47</v>
      </c>
      <c r="H118" s="14"/>
      <c r="I118" s="15"/>
      <c r="J118" s="14"/>
      <c r="K118" s="14" t="s">
        <v>100</v>
      </c>
      <c r="L118" s="14"/>
      <c r="M118" s="14"/>
    </row>
    <row r="119" ht="15.75" customHeight="1">
      <c r="A119" s="7" t="s">
        <v>521</v>
      </c>
      <c r="B119" s="7" t="s">
        <v>270</v>
      </c>
      <c r="C119" s="7" t="s">
        <v>516</v>
      </c>
      <c r="D119" s="7" t="s">
        <v>522</v>
      </c>
      <c r="E119" s="7" t="s">
        <v>523</v>
      </c>
      <c r="F119" s="16" t="s">
        <v>32</v>
      </c>
      <c r="G119" s="16" t="s">
        <v>47</v>
      </c>
      <c r="H119" s="14"/>
      <c r="I119" s="15"/>
      <c r="J119" s="14"/>
      <c r="K119" s="14" t="s">
        <v>100</v>
      </c>
      <c r="L119" s="14"/>
      <c r="M119" s="14"/>
    </row>
    <row r="120" ht="15.75" customHeight="1">
      <c r="A120" s="12" t="s">
        <v>524</v>
      </c>
      <c r="B120" s="12" t="s">
        <v>270</v>
      </c>
      <c r="C120" s="12" t="s">
        <v>516</v>
      </c>
      <c r="D120" s="12" t="s">
        <v>525</v>
      </c>
      <c r="E120" s="12" t="s">
        <v>526</v>
      </c>
      <c r="F120" s="13" t="s">
        <v>35</v>
      </c>
      <c r="G120" s="13" t="s">
        <v>67</v>
      </c>
      <c r="H120" s="14"/>
      <c r="I120" s="15"/>
      <c r="J120" s="14"/>
      <c r="K120" s="14" t="s">
        <v>100</v>
      </c>
      <c r="L120" s="14"/>
      <c r="M120" s="14"/>
    </row>
    <row r="121" ht="15.75" customHeight="1">
      <c r="A121" s="7" t="s">
        <v>527</v>
      </c>
      <c r="B121" s="7" t="s">
        <v>270</v>
      </c>
      <c r="C121" s="7" t="s">
        <v>516</v>
      </c>
      <c r="D121" s="7" t="s">
        <v>528</v>
      </c>
      <c r="E121" s="7" t="s">
        <v>529</v>
      </c>
      <c r="F121" s="16" t="s">
        <v>32</v>
      </c>
      <c r="G121" s="16" t="s">
        <v>47</v>
      </c>
      <c r="H121" s="14"/>
      <c r="I121" s="15"/>
      <c r="J121" s="14"/>
      <c r="K121" s="14" t="s">
        <v>100</v>
      </c>
      <c r="L121" s="14"/>
      <c r="M121" s="14"/>
    </row>
    <row r="122" ht="15.75" customHeight="1">
      <c r="A122" s="12" t="s">
        <v>530</v>
      </c>
      <c r="B122" s="12" t="s">
        <v>270</v>
      </c>
      <c r="C122" s="12" t="s">
        <v>516</v>
      </c>
      <c r="D122" s="12" t="s">
        <v>531</v>
      </c>
      <c r="E122" s="12" t="s">
        <v>532</v>
      </c>
      <c r="F122" s="13" t="s">
        <v>35</v>
      </c>
      <c r="G122" s="13" t="s">
        <v>47</v>
      </c>
      <c r="H122" s="14"/>
      <c r="I122" s="15"/>
      <c r="J122" s="14"/>
      <c r="K122" s="14" t="s">
        <v>100</v>
      </c>
      <c r="L122" s="14"/>
      <c r="M122" s="14"/>
    </row>
    <row r="123" ht="15.75" customHeight="1">
      <c r="A123" s="7" t="s">
        <v>533</v>
      </c>
      <c r="B123" s="7" t="s">
        <v>270</v>
      </c>
      <c r="C123" s="7" t="s">
        <v>516</v>
      </c>
      <c r="D123" s="7" t="s">
        <v>534</v>
      </c>
      <c r="E123" s="7" t="s">
        <v>535</v>
      </c>
      <c r="F123" s="16" t="s">
        <v>38</v>
      </c>
      <c r="G123" s="16" t="s">
        <v>47</v>
      </c>
      <c r="H123" s="14"/>
      <c r="I123" s="15"/>
      <c r="J123" s="14"/>
      <c r="K123" s="14" t="s">
        <v>100</v>
      </c>
      <c r="L123" s="14"/>
      <c r="M123" s="14"/>
    </row>
    <row r="124" ht="15.75" customHeight="1">
      <c r="A124" s="12" t="s">
        <v>156</v>
      </c>
      <c r="B124" s="12" t="s">
        <v>270</v>
      </c>
      <c r="C124" s="12" t="s">
        <v>536</v>
      </c>
      <c r="D124" s="12" t="s">
        <v>287</v>
      </c>
      <c r="E124" s="12" t="s">
        <v>537</v>
      </c>
      <c r="F124" s="13" t="s">
        <v>32</v>
      </c>
      <c r="G124" s="13" t="s">
        <v>47</v>
      </c>
      <c r="H124" s="14"/>
      <c r="I124" s="15"/>
      <c r="J124" s="14"/>
      <c r="K124" s="14" t="s">
        <v>100</v>
      </c>
      <c r="L124" s="14"/>
      <c r="M124" s="14"/>
    </row>
    <row r="125" ht="15.75" customHeight="1">
      <c r="A125" s="7" t="s">
        <v>538</v>
      </c>
      <c r="B125" s="7" t="s">
        <v>270</v>
      </c>
      <c r="C125" s="7" t="s">
        <v>539</v>
      </c>
      <c r="D125" s="7" t="s">
        <v>503</v>
      </c>
      <c r="E125" s="7" t="s">
        <v>540</v>
      </c>
      <c r="F125" s="16" t="s">
        <v>32</v>
      </c>
      <c r="G125" s="16" t="s">
        <v>56</v>
      </c>
      <c r="H125" s="14"/>
      <c r="I125" s="15"/>
      <c r="J125" s="14"/>
      <c r="K125" s="14" t="s">
        <v>100</v>
      </c>
      <c r="L125" s="14"/>
      <c r="M125" s="14"/>
    </row>
    <row r="126" ht="15.75" customHeight="1">
      <c r="A126" s="12" t="s">
        <v>541</v>
      </c>
      <c r="B126" s="12" t="s">
        <v>270</v>
      </c>
      <c r="C126" s="12" t="s">
        <v>539</v>
      </c>
      <c r="D126" s="12" t="s">
        <v>503</v>
      </c>
      <c r="E126" s="12" t="s">
        <v>542</v>
      </c>
      <c r="F126" s="13" t="s">
        <v>32</v>
      </c>
      <c r="G126" s="13" t="s">
        <v>56</v>
      </c>
      <c r="H126" s="14"/>
      <c r="I126" s="15"/>
      <c r="J126" s="14"/>
      <c r="K126" s="14" t="s">
        <v>100</v>
      </c>
      <c r="L126" s="14"/>
      <c r="M126" s="14"/>
    </row>
    <row r="127" ht="15.75" customHeight="1">
      <c r="A127" s="7" t="s">
        <v>543</v>
      </c>
      <c r="B127" s="7" t="s">
        <v>270</v>
      </c>
      <c r="C127" s="7" t="s">
        <v>539</v>
      </c>
      <c r="D127" s="7" t="s">
        <v>544</v>
      </c>
      <c r="E127" s="7" t="s">
        <v>545</v>
      </c>
      <c r="F127" s="16" t="s">
        <v>35</v>
      </c>
      <c r="G127" s="16" t="s">
        <v>67</v>
      </c>
      <c r="H127" s="14"/>
      <c r="I127" s="15"/>
      <c r="J127" s="14"/>
      <c r="K127" s="14" t="s">
        <v>100</v>
      </c>
      <c r="L127" s="14"/>
      <c r="M127" s="14"/>
    </row>
    <row r="128" ht="15.75" customHeight="1">
      <c r="A128" s="12" t="s">
        <v>546</v>
      </c>
      <c r="B128" s="12" t="s">
        <v>270</v>
      </c>
      <c r="C128" s="12" t="s">
        <v>163</v>
      </c>
      <c r="D128" s="12" t="s">
        <v>547</v>
      </c>
      <c r="E128" s="12" t="s">
        <v>548</v>
      </c>
      <c r="F128" s="13" t="s">
        <v>32</v>
      </c>
      <c r="G128" s="13" t="s">
        <v>47</v>
      </c>
      <c r="H128" s="14"/>
      <c r="I128" s="15"/>
      <c r="J128" s="14"/>
      <c r="K128" s="14" t="s">
        <v>100</v>
      </c>
      <c r="L128" s="14"/>
      <c r="M128" s="14"/>
    </row>
    <row r="129" ht="15.75" customHeight="1">
      <c r="A129" s="7" t="s">
        <v>549</v>
      </c>
      <c r="B129" s="7" t="s">
        <v>270</v>
      </c>
      <c r="C129" s="7" t="s">
        <v>550</v>
      </c>
      <c r="D129" s="7" t="s">
        <v>287</v>
      </c>
      <c r="E129" s="7" t="s">
        <v>551</v>
      </c>
      <c r="F129" s="16" t="s">
        <v>32</v>
      </c>
      <c r="G129" s="16" t="s">
        <v>56</v>
      </c>
      <c r="H129" s="14"/>
      <c r="I129" s="15"/>
      <c r="J129" s="14"/>
      <c r="K129" s="14" t="s">
        <v>100</v>
      </c>
      <c r="L129" s="14"/>
      <c r="M129" s="14"/>
    </row>
    <row r="130" ht="15.75" customHeight="1">
      <c r="A130" s="12" t="s">
        <v>552</v>
      </c>
      <c r="B130" s="12" t="s">
        <v>270</v>
      </c>
      <c r="C130" s="12" t="s">
        <v>516</v>
      </c>
      <c r="D130" s="12" t="s">
        <v>553</v>
      </c>
      <c r="E130" s="12" t="s">
        <v>554</v>
      </c>
      <c r="F130" s="13" t="s">
        <v>35</v>
      </c>
      <c r="G130" s="13" t="s">
        <v>47</v>
      </c>
      <c r="H130" s="14"/>
      <c r="I130" s="15"/>
      <c r="J130" s="14"/>
      <c r="K130" s="14" t="s">
        <v>100</v>
      </c>
      <c r="L130" s="14"/>
      <c r="M130" s="14"/>
    </row>
    <row r="131" ht="15.75" customHeight="1">
      <c r="A131" s="7" t="s">
        <v>555</v>
      </c>
      <c r="B131" s="7" t="s">
        <v>270</v>
      </c>
      <c r="C131" s="7" t="s">
        <v>556</v>
      </c>
      <c r="D131" s="7" t="s">
        <v>557</v>
      </c>
      <c r="E131" s="7" t="s">
        <v>558</v>
      </c>
      <c r="F131" s="16" t="s">
        <v>32</v>
      </c>
      <c r="G131" s="16" t="s">
        <v>47</v>
      </c>
      <c r="H131" s="14"/>
      <c r="I131" s="15"/>
      <c r="J131" s="14"/>
      <c r="K131" s="14" t="s">
        <v>100</v>
      </c>
      <c r="L131" s="14"/>
      <c r="M131" s="14"/>
    </row>
    <row r="132" ht="15.75" customHeight="1">
      <c r="A132" s="12" t="s">
        <v>559</v>
      </c>
      <c r="B132" s="12" t="s">
        <v>270</v>
      </c>
      <c r="C132" s="12" t="s">
        <v>560</v>
      </c>
      <c r="D132" s="12" t="s">
        <v>287</v>
      </c>
      <c r="E132" s="12" t="s">
        <v>561</v>
      </c>
      <c r="F132" s="13" t="s">
        <v>35</v>
      </c>
      <c r="G132" s="13" t="s">
        <v>47</v>
      </c>
      <c r="H132" s="14"/>
      <c r="I132" s="15"/>
      <c r="J132" s="14"/>
      <c r="K132" s="14" t="s">
        <v>100</v>
      </c>
      <c r="L132" s="14"/>
      <c r="M132" s="14"/>
    </row>
    <row r="133" ht="15.75" customHeight="1">
      <c r="A133" s="7" t="s">
        <v>562</v>
      </c>
      <c r="B133" s="7" t="s">
        <v>270</v>
      </c>
      <c r="C133" s="7" t="s">
        <v>502</v>
      </c>
      <c r="D133" s="7" t="s">
        <v>563</v>
      </c>
      <c r="E133" s="7" t="s">
        <v>564</v>
      </c>
      <c r="F133" s="16" t="s">
        <v>32</v>
      </c>
      <c r="G133" s="16" t="s">
        <v>56</v>
      </c>
      <c r="H133" s="14"/>
      <c r="I133" s="15"/>
      <c r="J133" s="14"/>
      <c r="K133" s="14" t="s">
        <v>100</v>
      </c>
      <c r="L133" s="14"/>
      <c r="M133" s="14"/>
    </row>
    <row r="134" ht="15.75" customHeight="1">
      <c r="A134" s="12" t="s">
        <v>565</v>
      </c>
      <c r="B134" s="12" t="s">
        <v>270</v>
      </c>
      <c r="C134" s="12" t="s">
        <v>566</v>
      </c>
      <c r="D134" s="12" t="s">
        <v>567</v>
      </c>
      <c r="E134" s="12" t="s">
        <v>568</v>
      </c>
      <c r="F134" s="13" t="s">
        <v>35</v>
      </c>
      <c r="G134" s="13" t="s">
        <v>56</v>
      </c>
      <c r="H134" s="14"/>
      <c r="I134" s="15"/>
      <c r="J134" s="14"/>
      <c r="K134" s="14" t="s">
        <v>100</v>
      </c>
      <c r="L134" s="14"/>
      <c r="M134" s="14"/>
    </row>
    <row r="135" ht="15.75" customHeight="1">
      <c r="A135" s="7" t="s">
        <v>569</v>
      </c>
      <c r="B135" s="7" t="s">
        <v>270</v>
      </c>
      <c r="C135" s="7" t="s">
        <v>570</v>
      </c>
      <c r="D135" s="7" t="s">
        <v>567</v>
      </c>
      <c r="E135" s="7" t="s">
        <v>571</v>
      </c>
      <c r="F135" s="16" t="s">
        <v>35</v>
      </c>
      <c r="G135" s="16" t="s">
        <v>56</v>
      </c>
      <c r="H135" s="14"/>
      <c r="I135" s="15"/>
      <c r="J135" s="14"/>
      <c r="K135" s="14" t="s">
        <v>100</v>
      </c>
      <c r="L135" s="14"/>
      <c r="M135" s="14"/>
    </row>
    <row r="136" ht="15.75" customHeight="1">
      <c r="A136" s="12" t="s">
        <v>572</v>
      </c>
      <c r="B136" s="12" t="s">
        <v>270</v>
      </c>
      <c r="C136" s="12" t="s">
        <v>573</v>
      </c>
      <c r="D136" s="12" t="s">
        <v>567</v>
      </c>
      <c r="E136" s="12" t="s">
        <v>574</v>
      </c>
      <c r="F136" s="13" t="s">
        <v>38</v>
      </c>
      <c r="G136" s="13" t="s">
        <v>56</v>
      </c>
      <c r="H136" s="14"/>
      <c r="I136" s="15"/>
      <c r="J136" s="14"/>
      <c r="K136" s="14" t="s">
        <v>100</v>
      </c>
      <c r="L136" s="14"/>
      <c r="M136" s="14"/>
    </row>
    <row r="137" ht="15.75" customHeight="1">
      <c r="A137" s="7" t="s">
        <v>575</v>
      </c>
      <c r="B137" s="7" t="s">
        <v>246</v>
      </c>
      <c r="C137" s="7" t="s">
        <v>494</v>
      </c>
      <c r="D137" s="7" t="s">
        <v>576</v>
      </c>
      <c r="E137" s="7" t="s">
        <v>577</v>
      </c>
      <c r="F137" s="16" t="s">
        <v>32</v>
      </c>
      <c r="G137" s="16" t="s">
        <v>47</v>
      </c>
      <c r="H137" s="14"/>
      <c r="I137" s="15"/>
      <c r="J137" s="14"/>
      <c r="K137" s="14" t="s">
        <v>100</v>
      </c>
      <c r="L137" s="14"/>
      <c r="M137" s="14"/>
    </row>
    <row r="138" ht="15.75" customHeight="1">
      <c r="A138" s="12" t="s">
        <v>578</v>
      </c>
      <c r="B138" s="12" t="s">
        <v>246</v>
      </c>
      <c r="C138" s="12" t="s">
        <v>579</v>
      </c>
      <c r="D138" s="12" t="s">
        <v>580</v>
      </c>
      <c r="E138" s="12" t="s">
        <v>581</v>
      </c>
      <c r="F138" s="13" t="s">
        <v>32</v>
      </c>
      <c r="G138" s="13" t="s">
        <v>50</v>
      </c>
      <c r="H138" s="14"/>
      <c r="I138" s="15"/>
      <c r="J138" s="14"/>
      <c r="K138" s="14" t="s">
        <v>100</v>
      </c>
      <c r="L138" s="14"/>
      <c r="M138" s="14"/>
    </row>
    <row r="139" ht="15.75" customHeight="1">
      <c r="A139" s="7" t="s">
        <v>582</v>
      </c>
      <c r="B139" s="7" t="s">
        <v>246</v>
      </c>
      <c r="C139" s="7" t="s">
        <v>579</v>
      </c>
      <c r="D139" s="7" t="s">
        <v>583</v>
      </c>
      <c r="E139" s="7" t="s">
        <v>584</v>
      </c>
      <c r="F139" s="16" t="s">
        <v>32</v>
      </c>
      <c r="G139" s="16" t="s">
        <v>47</v>
      </c>
      <c r="H139" s="14"/>
      <c r="I139" s="15"/>
      <c r="J139" s="14"/>
      <c r="K139" s="14" t="s">
        <v>100</v>
      </c>
      <c r="L139" s="14"/>
      <c r="M139" s="14"/>
    </row>
    <row r="140" ht="15.75" customHeight="1">
      <c r="A140" s="12" t="s">
        <v>585</v>
      </c>
      <c r="B140" s="12" t="s">
        <v>246</v>
      </c>
      <c r="C140" s="12" t="s">
        <v>163</v>
      </c>
      <c r="D140" s="12" t="s">
        <v>586</v>
      </c>
      <c r="E140" s="12" t="s">
        <v>587</v>
      </c>
      <c r="F140" s="13" t="s">
        <v>32</v>
      </c>
      <c r="G140" s="13" t="s">
        <v>47</v>
      </c>
      <c r="H140" s="14"/>
      <c r="I140" s="15"/>
      <c r="J140" s="14"/>
      <c r="K140" s="14" t="s">
        <v>100</v>
      </c>
      <c r="L140" s="14"/>
      <c r="M140" s="14"/>
    </row>
    <row r="141" ht="15.75" customHeight="1">
      <c r="A141" s="7" t="s">
        <v>588</v>
      </c>
      <c r="B141" s="7" t="s">
        <v>246</v>
      </c>
      <c r="C141" s="7" t="s">
        <v>589</v>
      </c>
      <c r="D141" s="7" t="s">
        <v>590</v>
      </c>
      <c r="E141" s="7" t="s">
        <v>591</v>
      </c>
      <c r="F141" s="16" t="s">
        <v>32</v>
      </c>
      <c r="G141" s="16" t="s">
        <v>47</v>
      </c>
      <c r="H141" s="14"/>
      <c r="I141" s="15"/>
      <c r="J141" s="14"/>
      <c r="K141" s="14" t="s">
        <v>100</v>
      </c>
      <c r="L141" s="14"/>
      <c r="M141" s="14"/>
    </row>
    <row r="142" ht="15.75" customHeight="1">
      <c r="A142" s="12" t="s">
        <v>592</v>
      </c>
      <c r="B142" s="12" t="s">
        <v>246</v>
      </c>
      <c r="C142" s="12" t="s">
        <v>593</v>
      </c>
      <c r="D142" s="12" t="s">
        <v>594</v>
      </c>
      <c r="E142" s="12" t="s">
        <v>595</v>
      </c>
      <c r="F142" s="13" t="s">
        <v>32</v>
      </c>
      <c r="G142" s="13" t="s">
        <v>47</v>
      </c>
      <c r="H142" s="14"/>
      <c r="I142" s="15"/>
      <c r="J142" s="14"/>
      <c r="K142" s="14" t="s">
        <v>100</v>
      </c>
      <c r="L142" s="14"/>
      <c r="M142" s="14"/>
    </row>
    <row r="143" ht="15.75" customHeight="1">
      <c r="A143" s="7" t="s">
        <v>596</v>
      </c>
      <c r="B143" s="7" t="s">
        <v>246</v>
      </c>
      <c r="C143" s="7" t="s">
        <v>597</v>
      </c>
      <c r="D143" s="7" t="s">
        <v>598</v>
      </c>
      <c r="E143" s="7" t="s">
        <v>599</v>
      </c>
      <c r="F143" s="16" t="s">
        <v>35</v>
      </c>
      <c r="G143" s="16" t="s">
        <v>67</v>
      </c>
      <c r="H143" s="14"/>
      <c r="I143" s="15"/>
      <c r="J143" s="14"/>
      <c r="K143" s="14" t="s">
        <v>100</v>
      </c>
      <c r="L143" s="14"/>
      <c r="M143" s="14"/>
    </row>
    <row r="144" ht="15.75" customHeight="1">
      <c r="A144" s="12" t="s">
        <v>600</v>
      </c>
      <c r="B144" s="12" t="s">
        <v>246</v>
      </c>
      <c r="C144" s="12" t="s">
        <v>601</v>
      </c>
      <c r="D144" s="12" t="s">
        <v>602</v>
      </c>
      <c r="E144" s="12" t="s">
        <v>603</v>
      </c>
      <c r="F144" s="13" t="s">
        <v>35</v>
      </c>
      <c r="G144" s="13" t="s">
        <v>67</v>
      </c>
      <c r="H144" s="14"/>
      <c r="I144" s="15"/>
      <c r="J144" s="14"/>
      <c r="K144" s="14" t="s">
        <v>100</v>
      </c>
      <c r="L144" s="14"/>
      <c r="M144" s="14"/>
    </row>
    <row r="145" ht="15.75" customHeight="1">
      <c r="A145" s="7" t="s">
        <v>604</v>
      </c>
      <c r="B145" s="7" t="s">
        <v>246</v>
      </c>
      <c r="C145" s="7" t="s">
        <v>605</v>
      </c>
      <c r="D145" s="7" t="s">
        <v>606</v>
      </c>
      <c r="E145" s="7" t="s">
        <v>607</v>
      </c>
      <c r="F145" s="16" t="s">
        <v>35</v>
      </c>
      <c r="G145" s="16" t="s">
        <v>47</v>
      </c>
      <c r="H145" s="14"/>
      <c r="I145" s="15"/>
      <c r="J145" s="14"/>
      <c r="K145" s="14" t="s">
        <v>100</v>
      </c>
      <c r="L145" s="14"/>
      <c r="M145" s="14"/>
    </row>
    <row r="146" ht="15.75" customHeight="1">
      <c r="A146" s="12" t="s">
        <v>608</v>
      </c>
      <c r="B146" s="12" t="s">
        <v>246</v>
      </c>
      <c r="C146" s="12" t="s">
        <v>609</v>
      </c>
      <c r="D146" s="12" t="s">
        <v>610</v>
      </c>
      <c r="E146" s="12" t="s">
        <v>611</v>
      </c>
      <c r="F146" s="13" t="s">
        <v>35</v>
      </c>
      <c r="G146" s="13" t="s">
        <v>62</v>
      </c>
      <c r="H146" s="14"/>
      <c r="I146" s="15"/>
      <c r="J146" s="14"/>
      <c r="K146" s="14" t="s">
        <v>100</v>
      </c>
      <c r="L146" s="14"/>
      <c r="M146" s="14"/>
    </row>
    <row r="147" ht="15.75" customHeight="1">
      <c r="A147" s="7" t="s">
        <v>612</v>
      </c>
      <c r="B147" s="7" t="s">
        <v>246</v>
      </c>
      <c r="C147" s="7" t="s">
        <v>613</v>
      </c>
      <c r="D147" s="7" t="s">
        <v>614</v>
      </c>
      <c r="E147" s="7" t="s">
        <v>615</v>
      </c>
      <c r="F147" s="16" t="s">
        <v>35</v>
      </c>
      <c r="G147" s="16" t="s">
        <v>62</v>
      </c>
      <c r="H147" s="14"/>
      <c r="I147" s="15"/>
      <c r="J147" s="14"/>
      <c r="K147" s="14" t="s">
        <v>100</v>
      </c>
      <c r="L147" s="14"/>
      <c r="M147" s="14"/>
    </row>
    <row r="148" ht="15.75" customHeight="1">
      <c r="A148" s="12" t="s">
        <v>616</v>
      </c>
      <c r="B148" s="12" t="s">
        <v>246</v>
      </c>
      <c r="C148" s="12" t="s">
        <v>617</v>
      </c>
      <c r="D148" s="12" t="s">
        <v>618</v>
      </c>
      <c r="E148" s="12" t="s">
        <v>619</v>
      </c>
      <c r="F148" s="13" t="s">
        <v>32</v>
      </c>
      <c r="G148" s="13" t="s">
        <v>47</v>
      </c>
      <c r="H148" s="14"/>
      <c r="I148" s="15"/>
      <c r="J148" s="14"/>
      <c r="K148" s="14" t="s">
        <v>100</v>
      </c>
      <c r="L148" s="14"/>
      <c r="M148" s="14"/>
    </row>
    <row r="149" ht="15.75" customHeight="1">
      <c r="A149" s="7" t="s">
        <v>158</v>
      </c>
      <c r="B149" s="7" t="s">
        <v>278</v>
      </c>
      <c r="C149" s="7" t="s">
        <v>620</v>
      </c>
      <c r="D149" s="7" t="s">
        <v>621</v>
      </c>
      <c r="E149" s="7" t="s">
        <v>622</v>
      </c>
      <c r="F149" s="16" t="s">
        <v>32</v>
      </c>
      <c r="G149" s="16" t="s">
        <v>47</v>
      </c>
      <c r="H149" s="14"/>
      <c r="I149" s="15"/>
      <c r="J149" s="14"/>
      <c r="K149" s="14" t="s">
        <v>100</v>
      </c>
      <c r="L149" s="14"/>
      <c r="M149" s="14"/>
    </row>
    <row r="150" ht="15.75" customHeight="1">
      <c r="A150" s="12" t="s">
        <v>623</v>
      </c>
      <c r="B150" s="12" t="s">
        <v>278</v>
      </c>
      <c r="C150" s="12" t="s">
        <v>158</v>
      </c>
      <c r="D150" s="12" t="s">
        <v>624</v>
      </c>
      <c r="E150" s="12" t="s">
        <v>625</v>
      </c>
      <c r="F150" s="13" t="s">
        <v>32</v>
      </c>
      <c r="G150" s="13" t="s">
        <v>47</v>
      </c>
      <c r="H150" s="14"/>
      <c r="I150" s="15"/>
      <c r="J150" s="14"/>
      <c r="K150" s="14" t="s">
        <v>100</v>
      </c>
      <c r="L150" s="14"/>
      <c r="M150" s="14"/>
    </row>
    <row r="151" ht="15.75" customHeight="1">
      <c r="A151" s="7" t="s">
        <v>626</v>
      </c>
      <c r="B151" s="7" t="s">
        <v>278</v>
      </c>
      <c r="C151" s="7" t="s">
        <v>158</v>
      </c>
      <c r="D151" s="7" t="s">
        <v>627</v>
      </c>
      <c r="E151" s="7" t="s">
        <v>628</v>
      </c>
      <c r="F151" s="16" t="s">
        <v>32</v>
      </c>
      <c r="G151" s="16" t="s">
        <v>47</v>
      </c>
      <c r="H151" s="14"/>
      <c r="I151" s="15"/>
      <c r="J151" s="14"/>
      <c r="K151" s="14" t="s">
        <v>100</v>
      </c>
      <c r="L151" s="14"/>
      <c r="M151" s="14"/>
    </row>
    <row r="152" ht="15.75" customHeight="1">
      <c r="A152" s="12" t="s">
        <v>629</v>
      </c>
      <c r="B152" s="12" t="s">
        <v>278</v>
      </c>
      <c r="C152" s="12" t="s">
        <v>630</v>
      </c>
      <c r="D152" s="12" t="s">
        <v>631</v>
      </c>
      <c r="E152" s="12" t="s">
        <v>632</v>
      </c>
      <c r="F152" s="13" t="s">
        <v>32</v>
      </c>
      <c r="G152" s="13" t="s">
        <v>47</v>
      </c>
      <c r="H152" s="14"/>
      <c r="I152" s="15"/>
      <c r="J152" s="14"/>
      <c r="K152" s="14" t="s">
        <v>100</v>
      </c>
      <c r="L152" s="14"/>
      <c r="M152" s="14"/>
    </row>
    <row r="153" ht="15.75" customHeight="1">
      <c r="A153" s="7" t="s">
        <v>633</v>
      </c>
      <c r="B153" s="7" t="s">
        <v>278</v>
      </c>
      <c r="C153" s="7" t="s">
        <v>634</v>
      </c>
      <c r="D153" s="7" t="s">
        <v>631</v>
      </c>
      <c r="E153" s="7" t="s">
        <v>632</v>
      </c>
      <c r="F153" s="16" t="s">
        <v>32</v>
      </c>
      <c r="G153" s="16" t="s">
        <v>47</v>
      </c>
      <c r="H153" s="14"/>
      <c r="I153" s="15"/>
      <c r="J153" s="14"/>
      <c r="K153" s="14" t="s">
        <v>100</v>
      </c>
      <c r="L153" s="14"/>
      <c r="M153" s="14"/>
    </row>
    <row r="154" ht="15.75" customHeight="1">
      <c r="A154" s="12" t="s">
        <v>635</v>
      </c>
      <c r="B154" s="12" t="s">
        <v>278</v>
      </c>
      <c r="C154" s="12" t="s">
        <v>636</v>
      </c>
      <c r="D154" s="12" t="s">
        <v>631</v>
      </c>
      <c r="E154" s="12" t="s">
        <v>632</v>
      </c>
      <c r="F154" s="13" t="s">
        <v>32</v>
      </c>
      <c r="G154" s="13" t="s">
        <v>47</v>
      </c>
      <c r="H154" s="14"/>
      <c r="I154" s="15"/>
      <c r="J154" s="14"/>
      <c r="K154" s="14" t="s">
        <v>100</v>
      </c>
      <c r="L154" s="14"/>
      <c r="M154" s="14"/>
    </row>
    <row r="155" ht="15.75" customHeight="1">
      <c r="A155" s="7" t="s">
        <v>637</v>
      </c>
      <c r="B155" s="7" t="s">
        <v>278</v>
      </c>
      <c r="C155" s="7" t="s">
        <v>638</v>
      </c>
      <c r="D155" s="7" t="s">
        <v>631</v>
      </c>
      <c r="E155" s="7" t="s">
        <v>632</v>
      </c>
      <c r="F155" s="16" t="s">
        <v>32</v>
      </c>
      <c r="G155" s="16" t="s">
        <v>47</v>
      </c>
      <c r="H155" s="14"/>
      <c r="I155" s="15"/>
      <c r="J155" s="14"/>
      <c r="K155" s="14" t="s">
        <v>100</v>
      </c>
      <c r="L155" s="14"/>
      <c r="M155" s="14"/>
    </row>
    <row r="156" ht="15.75" customHeight="1">
      <c r="A156" s="12" t="s">
        <v>639</v>
      </c>
      <c r="B156" s="12" t="s">
        <v>278</v>
      </c>
      <c r="C156" s="12" t="s">
        <v>640</v>
      </c>
      <c r="D156" s="12" t="s">
        <v>641</v>
      </c>
      <c r="E156" s="12" t="s">
        <v>642</v>
      </c>
      <c r="F156" s="13" t="s">
        <v>32</v>
      </c>
      <c r="G156" s="13" t="s">
        <v>47</v>
      </c>
      <c r="H156" s="14"/>
      <c r="I156" s="15"/>
      <c r="J156" s="14"/>
      <c r="K156" s="14" t="s">
        <v>100</v>
      </c>
      <c r="L156" s="14"/>
      <c r="M156" s="14"/>
    </row>
    <row r="157" ht="15.75" customHeight="1">
      <c r="A157" s="7" t="s">
        <v>643</v>
      </c>
      <c r="B157" s="7" t="s">
        <v>278</v>
      </c>
      <c r="C157" s="7" t="s">
        <v>644</v>
      </c>
      <c r="D157" s="7" t="s">
        <v>645</v>
      </c>
      <c r="E157" s="7" t="s">
        <v>646</v>
      </c>
      <c r="F157" s="16" t="s">
        <v>32</v>
      </c>
      <c r="G157" s="16" t="s">
        <v>47</v>
      </c>
      <c r="H157" s="14"/>
      <c r="I157" s="15"/>
      <c r="J157" s="14"/>
      <c r="K157" s="14" t="s">
        <v>100</v>
      </c>
      <c r="L157" s="14"/>
      <c r="M157" s="14"/>
    </row>
    <row r="158" ht="15.75" customHeight="1">
      <c r="A158" s="12" t="s">
        <v>647</v>
      </c>
      <c r="B158" s="12" t="s">
        <v>278</v>
      </c>
      <c r="C158" s="12" t="s">
        <v>644</v>
      </c>
      <c r="D158" s="12" t="s">
        <v>648</v>
      </c>
      <c r="E158" s="12" t="s">
        <v>649</v>
      </c>
      <c r="F158" s="13" t="s">
        <v>32</v>
      </c>
      <c r="G158" s="13" t="s">
        <v>47</v>
      </c>
      <c r="H158" s="14"/>
      <c r="I158" s="15"/>
      <c r="J158" s="14"/>
      <c r="K158" s="14" t="s">
        <v>100</v>
      </c>
      <c r="L158" s="14"/>
      <c r="M158" s="14"/>
    </row>
    <row r="159" ht="15.75" customHeight="1">
      <c r="A159" s="7" t="s">
        <v>650</v>
      </c>
      <c r="B159" s="7" t="s">
        <v>278</v>
      </c>
      <c r="C159" s="7" t="s">
        <v>651</v>
      </c>
      <c r="D159" s="7" t="s">
        <v>641</v>
      </c>
      <c r="E159" s="7" t="s">
        <v>652</v>
      </c>
      <c r="F159" s="16" t="s">
        <v>35</v>
      </c>
      <c r="G159" s="16" t="s">
        <v>47</v>
      </c>
      <c r="H159" s="14"/>
      <c r="I159" s="15"/>
      <c r="J159" s="14"/>
      <c r="K159" s="14" t="s">
        <v>100</v>
      </c>
      <c r="L159" s="14"/>
      <c r="M159" s="14"/>
    </row>
    <row r="160" ht="15.75" customHeight="1">
      <c r="A160" s="12" t="s">
        <v>653</v>
      </c>
      <c r="B160" s="12" t="s">
        <v>278</v>
      </c>
      <c r="C160" s="12" t="s">
        <v>654</v>
      </c>
      <c r="D160" s="12" t="s">
        <v>655</v>
      </c>
      <c r="E160" s="12" t="s">
        <v>656</v>
      </c>
      <c r="F160" s="13" t="s">
        <v>35</v>
      </c>
      <c r="G160" s="13" t="s">
        <v>47</v>
      </c>
      <c r="H160" s="14"/>
      <c r="I160" s="15"/>
      <c r="J160" s="14"/>
      <c r="K160" s="14" t="s">
        <v>100</v>
      </c>
      <c r="L160" s="14"/>
      <c r="M160" s="14"/>
    </row>
    <row r="161" ht="15.75" customHeight="1">
      <c r="A161" s="7" t="s">
        <v>657</v>
      </c>
      <c r="B161" s="7" t="s">
        <v>278</v>
      </c>
      <c r="C161" s="7" t="s">
        <v>658</v>
      </c>
      <c r="D161" s="7" t="s">
        <v>659</v>
      </c>
      <c r="E161" s="7" t="s">
        <v>660</v>
      </c>
      <c r="F161" s="16" t="s">
        <v>35</v>
      </c>
      <c r="G161" s="16" t="s">
        <v>62</v>
      </c>
      <c r="H161" s="14"/>
      <c r="I161" s="15"/>
      <c r="J161" s="14"/>
      <c r="K161" s="14" t="s">
        <v>100</v>
      </c>
      <c r="L161" s="14"/>
      <c r="M161" s="14"/>
    </row>
    <row r="162" ht="15.75" customHeight="1">
      <c r="A162" s="12" t="s">
        <v>661</v>
      </c>
      <c r="B162" s="12" t="s">
        <v>278</v>
      </c>
      <c r="C162" s="12" t="s">
        <v>662</v>
      </c>
      <c r="D162" s="12" t="s">
        <v>663</v>
      </c>
      <c r="E162" s="12" t="s">
        <v>664</v>
      </c>
      <c r="F162" s="13" t="s">
        <v>32</v>
      </c>
      <c r="G162" s="13" t="s">
        <v>47</v>
      </c>
      <c r="H162" s="14"/>
      <c r="I162" s="15"/>
      <c r="J162" s="14"/>
      <c r="K162" s="14" t="s">
        <v>100</v>
      </c>
      <c r="L162" s="14"/>
      <c r="M162" s="14"/>
    </row>
    <row r="163" ht="15.75" customHeight="1">
      <c r="A163" s="7" t="s">
        <v>665</v>
      </c>
      <c r="B163" s="7" t="s">
        <v>278</v>
      </c>
      <c r="C163" s="7" t="s">
        <v>666</v>
      </c>
      <c r="D163" s="7" t="s">
        <v>667</v>
      </c>
      <c r="E163" s="7" t="s">
        <v>668</v>
      </c>
      <c r="F163" s="16" t="s">
        <v>35</v>
      </c>
      <c r="G163" s="16" t="s">
        <v>47</v>
      </c>
      <c r="H163" s="14"/>
      <c r="I163" s="15"/>
      <c r="J163" s="14"/>
      <c r="K163" s="14" t="s">
        <v>100</v>
      </c>
      <c r="L163" s="14"/>
      <c r="M163" s="14"/>
    </row>
    <row r="164" ht="15.75" customHeight="1">
      <c r="A164" s="12" t="s">
        <v>669</v>
      </c>
      <c r="B164" s="12" t="s">
        <v>278</v>
      </c>
      <c r="C164" s="12" t="s">
        <v>450</v>
      </c>
      <c r="D164" s="12" t="s">
        <v>670</v>
      </c>
      <c r="E164" s="12" t="s">
        <v>671</v>
      </c>
      <c r="F164" s="13" t="s">
        <v>35</v>
      </c>
      <c r="G164" s="13" t="s">
        <v>56</v>
      </c>
      <c r="H164" s="14"/>
      <c r="I164" s="15"/>
      <c r="J164" s="14"/>
      <c r="K164" s="14" t="s">
        <v>100</v>
      </c>
      <c r="L164" s="14"/>
      <c r="M164" s="14"/>
    </row>
    <row r="165" ht="15.75" customHeight="1">
      <c r="A165" s="7" t="s">
        <v>672</v>
      </c>
      <c r="B165" s="7" t="s">
        <v>278</v>
      </c>
      <c r="C165" s="7" t="s">
        <v>673</v>
      </c>
      <c r="D165" s="7" t="s">
        <v>674</v>
      </c>
      <c r="E165" s="7" t="s">
        <v>675</v>
      </c>
      <c r="F165" s="16" t="s">
        <v>35</v>
      </c>
      <c r="G165" s="16" t="s">
        <v>62</v>
      </c>
      <c r="H165" s="14"/>
      <c r="I165" s="15"/>
      <c r="J165" s="14"/>
      <c r="K165" s="14" t="s">
        <v>100</v>
      </c>
      <c r="L165" s="14"/>
      <c r="M165" s="14"/>
    </row>
    <row r="166" ht="15.75" customHeight="1">
      <c r="A166" s="12" t="s">
        <v>676</v>
      </c>
      <c r="B166" s="12" t="s">
        <v>278</v>
      </c>
      <c r="C166" s="12" t="s">
        <v>677</v>
      </c>
      <c r="D166" s="12" t="s">
        <v>674</v>
      </c>
      <c r="E166" s="12" t="s">
        <v>678</v>
      </c>
      <c r="F166" s="13" t="s">
        <v>38</v>
      </c>
      <c r="G166" s="13" t="s">
        <v>62</v>
      </c>
      <c r="H166" s="14"/>
      <c r="I166" s="15"/>
      <c r="J166" s="14"/>
      <c r="K166" s="14" t="s">
        <v>100</v>
      </c>
      <c r="L166" s="14"/>
      <c r="M166" s="14"/>
    </row>
    <row r="167" ht="15.75" customHeight="1">
      <c r="A167" s="7" t="s">
        <v>168</v>
      </c>
      <c r="B167" s="7" t="s">
        <v>285</v>
      </c>
      <c r="C167" s="7" t="s">
        <v>679</v>
      </c>
      <c r="D167" s="7" t="s">
        <v>680</v>
      </c>
      <c r="E167" s="7" t="s">
        <v>681</v>
      </c>
      <c r="F167" s="16" t="s">
        <v>32</v>
      </c>
      <c r="G167" s="16" t="s">
        <v>47</v>
      </c>
      <c r="H167" s="14"/>
      <c r="I167" s="15"/>
      <c r="J167" s="14"/>
      <c r="K167" s="14" t="s">
        <v>100</v>
      </c>
      <c r="L167" s="14"/>
      <c r="M167" s="14"/>
    </row>
    <row r="168" ht="15.75" customHeight="1">
      <c r="A168" s="12" t="s">
        <v>682</v>
      </c>
      <c r="B168" s="12" t="s">
        <v>285</v>
      </c>
      <c r="C168" s="12" t="s">
        <v>168</v>
      </c>
      <c r="D168" s="12" t="s">
        <v>503</v>
      </c>
      <c r="E168" s="12" t="s">
        <v>683</v>
      </c>
      <c r="F168" s="13" t="s">
        <v>32</v>
      </c>
      <c r="G168" s="13" t="s">
        <v>56</v>
      </c>
      <c r="H168" s="14"/>
      <c r="I168" s="15"/>
      <c r="J168" s="14"/>
      <c r="K168" s="14" t="s">
        <v>100</v>
      </c>
      <c r="L168" s="14"/>
      <c r="M168" s="14"/>
    </row>
    <row r="169" ht="15.75" customHeight="1">
      <c r="A169" s="7" t="s">
        <v>684</v>
      </c>
      <c r="B169" s="7" t="s">
        <v>285</v>
      </c>
      <c r="C169" s="7" t="s">
        <v>682</v>
      </c>
      <c r="D169" s="7" t="s">
        <v>458</v>
      </c>
      <c r="E169" s="7" t="s">
        <v>685</v>
      </c>
      <c r="F169" s="16" t="s">
        <v>32</v>
      </c>
      <c r="G169" s="16" t="s">
        <v>56</v>
      </c>
      <c r="H169" s="14"/>
      <c r="I169" s="15"/>
      <c r="J169" s="14"/>
      <c r="K169" s="14" t="s">
        <v>100</v>
      </c>
      <c r="L169" s="14"/>
      <c r="M169" s="14"/>
    </row>
    <row r="170" ht="15.75" customHeight="1">
      <c r="A170" s="12" t="s">
        <v>686</v>
      </c>
      <c r="B170" s="12" t="s">
        <v>285</v>
      </c>
      <c r="C170" s="12" t="s">
        <v>168</v>
      </c>
      <c r="D170" s="12" t="s">
        <v>687</v>
      </c>
      <c r="E170" s="12" t="s">
        <v>688</v>
      </c>
      <c r="F170" s="13" t="s">
        <v>32</v>
      </c>
      <c r="G170" s="13" t="s">
        <v>47</v>
      </c>
      <c r="H170" s="14"/>
      <c r="I170" s="15"/>
      <c r="J170" s="14"/>
      <c r="K170" s="14" t="s">
        <v>100</v>
      </c>
      <c r="L170" s="14"/>
      <c r="M170" s="14"/>
    </row>
    <row r="171" ht="15.75" customHeight="1">
      <c r="A171" s="7" t="s">
        <v>689</v>
      </c>
      <c r="B171" s="7" t="s">
        <v>285</v>
      </c>
      <c r="C171" s="7" t="s">
        <v>168</v>
      </c>
      <c r="D171" s="7" t="s">
        <v>690</v>
      </c>
      <c r="E171" s="7" t="s">
        <v>691</v>
      </c>
      <c r="F171" s="16" t="s">
        <v>32</v>
      </c>
      <c r="G171" s="16" t="s">
        <v>47</v>
      </c>
      <c r="H171" s="14"/>
      <c r="I171" s="15"/>
      <c r="J171" s="14"/>
      <c r="K171" s="14" t="s">
        <v>100</v>
      </c>
      <c r="L171" s="14"/>
      <c r="M171" s="14"/>
    </row>
    <row r="172" ht="15.75" customHeight="1">
      <c r="A172" s="12" t="s">
        <v>692</v>
      </c>
      <c r="B172" s="12" t="s">
        <v>285</v>
      </c>
      <c r="C172" s="12" t="s">
        <v>693</v>
      </c>
      <c r="D172" s="12" t="s">
        <v>694</v>
      </c>
      <c r="E172" s="12" t="s">
        <v>695</v>
      </c>
      <c r="F172" s="13" t="s">
        <v>32</v>
      </c>
      <c r="G172" s="13" t="s">
        <v>47</v>
      </c>
      <c r="H172" s="14"/>
      <c r="I172" s="15"/>
      <c r="J172" s="14"/>
      <c r="K172" s="14" t="s">
        <v>100</v>
      </c>
      <c r="L172" s="14"/>
      <c r="M172" s="14"/>
    </row>
    <row r="173" ht="15.75" customHeight="1">
      <c r="A173" s="7" t="s">
        <v>696</v>
      </c>
      <c r="B173" s="7" t="s">
        <v>285</v>
      </c>
      <c r="C173" s="7" t="s">
        <v>168</v>
      </c>
      <c r="D173" s="7" t="s">
        <v>697</v>
      </c>
      <c r="E173" s="7" t="s">
        <v>698</v>
      </c>
      <c r="F173" s="16" t="s">
        <v>32</v>
      </c>
      <c r="G173" s="16" t="s">
        <v>47</v>
      </c>
      <c r="H173" s="14"/>
      <c r="I173" s="15"/>
      <c r="J173" s="14"/>
      <c r="K173" s="14" t="s">
        <v>100</v>
      </c>
      <c r="L173" s="14"/>
      <c r="M173" s="14"/>
    </row>
    <row r="174" ht="15.75" customHeight="1">
      <c r="A174" s="12" t="s">
        <v>699</v>
      </c>
      <c r="B174" s="12" t="s">
        <v>285</v>
      </c>
      <c r="C174" s="12" t="s">
        <v>700</v>
      </c>
      <c r="D174" s="12" t="s">
        <v>697</v>
      </c>
      <c r="E174" s="12" t="s">
        <v>701</v>
      </c>
      <c r="F174" s="13" t="s">
        <v>35</v>
      </c>
      <c r="G174" s="13" t="s">
        <v>47</v>
      </c>
      <c r="H174" s="14"/>
      <c r="I174" s="15"/>
      <c r="J174" s="14"/>
      <c r="K174" s="14" t="s">
        <v>100</v>
      </c>
      <c r="L174" s="14"/>
      <c r="M174" s="14"/>
    </row>
    <row r="175" ht="15.75" customHeight="1">
      <c r="A175" s="7" t="s">
        <v>702</v>
      </c>
      <c r="B175" s="7" t="s">
        <v>285</v>
      </c>
      <c r="C175" s="7" t="s">
        <v>163</v>
      </c>
      <c r="D175" s="7" t="s">
        <v>703</v>
      </c>
      <c r="E175" s="7" t="s">
        <v>704</v>
      </c>
      <c r="F175" s="16" t="s">
        <v>35</v>
      </c>
      <c r="G175" s="16" t="s">
        <v>47</v>
      </c>
      <c r="H175" s="14"/>
      <c r="I175" s="15"/>
      <c r="J175" s="14"/>
      <c r="K175" s="14" t="s">
        <v>100</v>
      </c>
      <c r="L175" s="14"/>
      <c r="M175" s="14"/>
    </row>
    <row r="176" ht="15.75" customHeight="1">
      <c r="A176" s="12" t="s">
        <v>705</v>
      </c>
      <c r="B176" s="12" t="s">
        <v>285</v>
      </c>
      <c r="C176" s="12" t="s">
        <v>706</v>
      </c>
      <c r="D176" s="12" t="s">
        <v>703</v>
      </c>
      <c r="E176" s="12" t="s">
        <v>707</v>
      </c>
      <c r="F176" s="13" t="s">
        <v>32</v>
      </c>
      <c r="G176" s="13" t="s">
        <v>47</v>
      </c>
      <c r="H176" s="14"/>
      <c r="I176" s="15"/>
      <c r="J176" s="14"/>
      <c r="K176" s="14" t="s">
        <v>100</v>
      </c>
      <c r="L176" s="14"/>
      <c r="M176" s="14"/>
    </row>
    <row r="177" ht="15.75" customHeight="1">
      <c r="A177" s="7" t="s">
        <v>708</v>
      </c>
      <c r="B177" s="7" t="s">
        <v>285</v>
      </c>
      <c r="C177" s="7" t="s">
        <v>709</v>
      </c>
      <c r="D177" s="7" t="s">
        <v>710</v>
      </c>
      <c r="E177" s="7" t="s">
        <v>711</v>
      </c>
      <c r="F177" s="16" t="s">
        <v>32</v>
      </c>
      <c r="G177" s="16" t="s">
        <v>50</v>
      </c>
      <c r="H177" s="14"/>
      <c r="I177" s="15"/>
      <c r="J177" s="14"/>
      <c r="K177" s="14" t="s">
        <v>100</v>
      </c>
      <c r="L177" s="14"/>
      <c r="M177" s="14"/>
    </row>
    <row r="178" ht="15.75" customHeight="1">
      <c r="A178" s="12" t="s">
        <v>712</v>
      </c>
      <c r="B178" s="12" t="s">
        <v>285</v>
      </c>
      <c r="C178" s="12" t="s">
        <v>713</v>
      </c>
      <c r="D178" s="12" t="s">
        <v>714</v>
      </c>
      <c r="E178" s="12" t="s">
        <v>715</v>
      </c>
      <c r="F178" s="13" t="s">
        <v>32</v>
      </c>
      <c r="G178" s="13" t="s">
        <v>50</v>
      </c>
      <c r="H178" s="14"/>
      <c r="I178" s="15"/>
      <c r="J178" s="14"/>
      <c r="K178" s="14" t="s">
        <v>100</v>
      </c>
      <c r="L178" s="14"/>
      <c r="M178" s="14"/>
    </row>
    <row r="179" ht="15.75" customHeight="1">
      <c r="A179" s="7" t="s">
        <v>173</v>
      </c>
      <c r="B179" s="7" t="s">
        <v>292</v>
      </c>
      <c r="C179" s="7" t="s">
        <v>716</v>
      </c>
      <c r="D179" s="7" t="s">
        <v>614</v>
      </c>
      <c r="E179" s="7" t="s">
        <v>717</v>
      </c>
      <c r="F179" s="16" t="s">
        <v>32</v>
      </c>
      <c r="G179" s="16" t="s">
        <v>47</v>
      </c>
      <c r="H179" s="14"/>
      <c r="I179" s="15"/>
      <c r="J179" s="14"/>
      <c r="K179" s="14" t="s">
        <v>100</v>
      </c>
      <c r="L179" s="14"/>
      <c r="M179" s="14"/>
    </row>
    <row r="180" ht="15.75" customHeight="1">
      <c r="A180" s="12" t="s">
        <v>718</v>
      </c>
      <c r="B180" s="12" t="s">
        <v>292</v>
      </c>
      <c r="C180" s="12" t="s">
        <v>719</v>
      </c>
      <c r="D180" s="12" t="s">
        <v>720</v>
      </c>
      <c r="E180" s="12" t="s">
        <v>721</v>
      </c>
      <c r="F180" s="13" t="s">
        <v>32</v>
      </c>
      <c r="G180" s="13" t="s">
        <v>47</v>
      </c>
      <c r="H180" s="14"/>
      <c r="I180" s="15"/>
      <c r="J180" s="14"/>
      <c r="K180" s="14" t="s">
        <v>100</v>
      </c>
      <c r="L180" s="14"/>
      <c r="M180" s="14"/>
    </row>
    <row r="181" ht="15.75" customHeight="1">
      <c r="A181" s="7" t="s">
        <v>722</v>
      </c>
      <c r="B181" s="7" t="s">
        <v>292</v>
      </c>
      <c r="C181" s="7" t="s">
        <v>723</v>
      </c>
      <c r="D181" s="7" t="s">
        <v>724</v>
      </c>
      <c r="E181" s="7" t="s">
        <v>725</v>
      </c>
      <c r="F181" s="16" t="s">
        <v>32</v>
      </c>
      <c r="G181" s="16" t="s">
        <v>47</v>
      </c>
      <c r="H181" s="14"/>
      <c r="I181" s="15"/>
      <c r="J181" s="14"/>
      <c r="K181" s="14" t="s">
        <v>100</v>
      </c>
      <c r="L181" s="14"/>
      <c r="M181" s="14"/>
    </row>
    <row r="182" ht="15.75" customHeight="1">
      <c r="A182" s="12" t="s">
        <v>726</v>
      </c>
      <c r="B182" s="12" t="s">
        <v>292</v>
      </c>
      <c r="C182" s="12" t="s">
        <v>723</v>
      </c>
      <c r="D182" s="12" t="s">
        <v>727</v>
      </c>
      <c r="E182" s="12" t="s">
        <v>728</v>
      </c>
      <c r="F182" s="13" t="s">
        <v>32</v>
      </c>
      <c r="G182" s="13" t="s">
        <v>47</v>
      </c>
      <c r="H182" s="14"/>
      <c r="I182" s="15"/>
      <c r="J182" s="14"/>
      <c r="K182" s="14" t="s">
        <v>100</v>
      </c>
      <c r="L182" s="14"/>
      <c r="M182" s="14"/>
    </row>
    <row r="183" ht="15.75" customHeight="1">
      <c r="A183" s="7" t="s">
        <v>729</v>
      </c>
      <c r="B183" s="7" t="s">
        <v>292</v>
      </c>
      <c r="C183" s="7" t="s">
        <v>723</v>
      </c>
      <c r="D183" s="7" t="s">
        <v>730</v>
      </c>
      <c r="E183" s="7" t="s">
        <v>731</v>
      </c>
      <c r="F183" s="16" t="s">
        <v>35</v>
      </c>
      <c r="G183" s="16" t="s">
        <v>47</v>
      </c>
      <c r="H183" s="14"/>
      <c r="I183" s="15"/>
      <c r="J183" s="14"/>
      <c r="K183" s="14" t="s">
        <v>100</v>
      </c>
      <c r="L183" s="14"/>
      <c r="M183" s="14"/>
    </row>
    <row r="184" ht="15.75" customHeight="1">
      <c r="A184" s="12" t="s">
        <v>732</v>
      </c>
      <c r="B184" s="12" t="s">
        <v>292</v>
      </c>
      <c r="C184" s="12" t="s">
        <v>733</v>
      </c>
      <c r="D184" s="12" t="s">
        <v>479</v>
      </c>
      <c r="E184" s="12" t="s">
        <v>734</v>
      </c>
      <c r="F184" s="13" t="s">
        <v>32</v>
      </c>
      <c r="G184" s="13" t="s">
        <v>47</v>
      </c>
      <c r="H184" s="14"/>
      <c r="I184" s="15"/>
      <c r="J184" s="14"/>
      <c r="K184" s="14" t="s">
        <v>100</v>
      </c>
      <c r="L184" s="14"/>
      <c r="M184" s="14"/>
    </row>
    <row r="185" ht="15.75" customHeight="1">
      <c r="A185" s="7" t="s">
        <v>735</v>
      </c>
      <c r="B185" s="7" t="s">
        <v>292</v>
      </c>
      <c r="C185" s="7" t="s">
        <v>723</v>
      </c>
      <c r="D185" s="7" t="s">
        <v>736</v>
      </c>
      <c r="E185" s="7" t="s">
        <v>737</v>
      </c>
      <c r="F185" s="16" t="s">
        <v>35</v>
      </c>
      <c r="G185" s="16" t="s">
        <v>47</v>
      </c>
      <c r="H185" s="14"/>
      <c r="I185" s="15"/>
      <c r="J185" s="14"/>
      <c r="K185" s="14" t="s">
        <v>100</v>
      </c>
      <c r="L185" s="14"/>
      <c r="M185" s="14"/>
    </row>
    <row r="186" ht="15.75" customHeight="1">
      <c r="A186" s="12" t="s">
        <v>738</v>
      </c>
      <c r="B186" s="12" t="s">
        <v>292</v>
      </c>
      <c r="C186" s="12" t="s">
        <v>723</v>
      </c>
      <c r="D186" s="12" t="s">
        <v>739</v>
      </c>
      <c r="E186" s="12" t="s">
        <v>740</v>
      </c>
      <c r="F186" s="13" t="s">
        <v>32</v>
      </c>
      <c r="G186" s="13" t="s">
        <v>67</v>
      </c>
      <c r="H186" s="14"/>
      <c r="I186" s="15"/>
      <c r="J186" s="14"/>
      <c r="K186" s="14" t="s">
        <v>100</v>
      </c>
      <c r="L186" s="14"/>
      <c r="M186" s="14"/>
    </row>
    <row r="187" ht="15.75" customHeight="1">
      <c r="A187" s="7" t="s">
        <v>741</v>
      </c>
      <c r="B187" s="7" t="s">
        <v>292</v>
      </c>
      <c r="C187" s="7" t="s">
        <v>742</v>
      </c>
      <c r="D187" s="7" t="s">
        <v>743</v>
      </c>
      <c r="E187" s="7" t="s">
        <v>744</v>
      </c>
      <c r="F187" s="16" t="s">
        <v>32</v>
      </c>
      <c r="G187" s="16" t="s">
        <v>47</v>
      </c>
      <c r="H187" s="14"/>
      <c r="I187" s="15"/>
      <c r="J187" s="14"/>
      <c r="K187" s="14" t="s">
        <v>100</v>
      </c>
      <c r="L187" s="14"/>
      <c r="M187" s="14"/>
    </row>
    <row r="188" ht="15.75" customHeight="1">
      <c r="A188" s="12" t="s">
        <v>745</v>
      </c>
      <c r="B188" s="12" t="s">
        <v>292</v>
      </c>
      <c r="C188" s="12" t="s">
        <v>742</v>
      </c>
      <c r="D188" s="12" t="s">
        <v>746</v>
      </c>
      <c r="E188" s="12" t="s">
        <v>747</v>
      </c>
      <c r="F188" s="13" t="s">
        <v>32</v>
      </c>
      <c r="G188" s="13" t="s">
        <v>47</v>
      </c>
      <c r="H188" s="14"/>
      <c r="I188" s="15"/>
      <c r="J188" s="14"/>
      <c r="K188" s="14" t="s">
        <v>100</v>
      </c>
      <c r="L188" s="14"/>
      <c r="M188" s="14"/>
    </row>
    <row r="189" ht="15.75" customHeight="1">
      <c r="A189" s="7" t="s">
        <v>748</v>
      </c>
      <c r="B189" s="7" t="s">
        <v>292</v>
      </c>
      <c r="C189" s="7" t="s">
        <v>742</v>
      </c>
      <c r="D189" s="7" t="s">
        <v>655</v>
      </c>
      <c r="E189" s="7" t="s">
        <v>749</v>
      </c>
      <c r="F189" s="16" t="s">
        <v>32</v>
      </c>
      <c r="G189" s="16" t="s">
        <v>47</v>
      </c>
      <c r="H189" s="14"/>
      <c r="I189" s="15"/>
      <c r="J189" s="14"/>
      <c r="K189" s="14" t="s">
        <v>100</v>
      </c>
      <c r="L189" s="14"/>
      <c r="M189" s="14"/>
    </row>
    <row r="190" ht="15.75" customHeight="1">
      <c r="A190" s="12" t="s">
        <v>750</v>
      </c>
      <c r="B190" s="12" t="s">
        <v>292</v>
      </c>
      <c r="C190" s="12" t="s">
        <v>742</v>
      </c>
      <c r="D190" s="12" t="s">
        <v>751</v>
      </c>
      <c r="E190" s="12" t="s">
        <v>752</v>
      </c>
      <c r="F190" s="13" t="s">
        <v>35</v>
      </c>
      <c r="G190" s="13" t="s">
        <v>67</v>
      </c>
      <c r="H190" s="14"/>
      <c r="I190" s="15"/>
      <c r="J190" s="14"/>
      <c r="K190" s="14" t="s">
        <v>100</v>
      </c>
      <c r="L190" s="14"/>
      <c r="M190" s="14"/>
    </row>
    <row r="191" ht="15.75" customHeight="1">
      <c r="A191" s="7" t="s">
        <v>753</v>
      </c>
      <c r="B191" s="7" t="s">
        <v>292</v>
      </c>
      <c r="C191" s="7" t="s">
        <v>754</v>
      </c>
      <c r="D191" s="7" t="s">
        <v>479</v>
      </c>
      <c r="E191" s="7" t="s">
        <v>755</v>
      </c>
      <c r="F191" s="16" t="s">
        <v>35</v>
      </c>
      <c r="G191" s="16" t="s">
        <v>67</v>
      </c>
      <c r="H191" s="14"/>
      <c r="I191" s="15"/>
      <c r="J191" s="14"/>
      <c r="K191" s="14" t="s">
        <v>100</v>
      </c>
      <c r="L191" s="14"/>
      <c r="M191" s="14"/>
    </row>
    <row r="192" ht="15.75" customHeight="1">
      <c r="A192" s="12" t="s">
        <v>756</v>
      </c>
      <c r="B192" s="12" t="s">
        <v>292</v>
      </c>
      <c r="C192" s="12" t="s">
        <v>742</v>
      </c>
      <c r="D192" s="12" t="s">
        <v>757</v>
      </c>
      <c r="E192" s="12" t="s">
        <v>758</v>
      </c>
      <c r="F192" s="13" t="s">
        <v>32</v>
      </c>
      <c r="G192" s="13" t="s">
        <v>47</v>
      </c>
      <c r="H192" s="14"/>
      <c r="I192" s="15"/>
      <c r="J192" s="14"/>
      <c r="K192" s="14" t="s">
        <v>100</v>
      </c>
      <c r="L192" s="14"/>
      <c r="M192" s="14"/>
    </row>
    <row r="193" ht="15.75" customHeight="1">
      <c r="A193" s="7" t="s">
        <v>759</v>
      </c>
      <c r="B193" s="7" t="s">
        <v>292</v>
      </c>
      <c r="C193" s="7" t="s">
        <v>760</v>
      </c>
      <c r="D193" s="7" t="s">
        <v>614</v>
      </c>
      <c r="E193" s="7" t="s">
        <v>761</v>
      </c>
      <c r="F193" s="16" t="s">
        <v>35</v>
      </c>
      <c r="G193" s="16" t="s">
        <v>56</v>
      </c>
      <c r="H193" s="14"/>
      <c r="I193" s="15"/>
      <c r="J193" s="14"/>
      <c r="K193" s="14" t="s">
        <v>100</v>
      </c>
      <c r="L193" s="14"/>
      <c r="M193" s="14"/>
    </row>
    <row r="194" ht="15.75" customHeight="1">
      <c r="A194" s="12" t="s">
        <v>762</v>
      </c>
      <c r="B194" s="12" t="s">
        <v>292</v>
      </c>
      <c r="C194" s="12" t="s">
        <v>763</v>
      </c>
      <c r="D194" s="12" t="s">
        <v>614</v>
      </c>
      <c r="E194" s="12" t="s">
        <v>764</v>
      </c>
      <c r="F194" s="13" t="s">
        <v>35</v>
      </c>
      <c r="G194" s="13" t="s">
        <v>62</v>
      </c>
      <c r="H194" s="14"/>
      <c r="I194" s="15"/>
      <c r="J194" s="14"/>
      <c r="K194" s="14" t="s">
        <v>100</v>
      </c>
      <c r="L194" s="14"/>
      <c r="M194" s="14"/>
    </row>
    <row r="195" ht="15.75" customHeight="1">
      <c r="A195" s="7" t="s">
        <v>765</v>
      </c>
      <c r="B195" s="7" t="s">
        <v>292</v>
      </c>
      <c r="C195" s="7" t="s">
        <v>723</v>
      </c>
      <c r="D195" s="7" t="s">
        <v>766</v>
      </c>
      <c r="E195" s="7" t="s">
        <v>767</v>
      </c>
      <c r="F195" s="16" t="s">
        <v>32</v>
      </c>
      <c r="G195" s="16" t="s">
        <v>62</v>
      </c>
      <c r="H195" s="14"/>
      <c r="I195" s="15"/>
      <c r="J195" s="14"/>
      <c r="K195" s="14" t="s">
        <v>100</v>
      </c>
      <c r="L195" s="14"/>
      <c r="M195" s="14"/>
    </row>
    <row r="196" ht="15.75" customHeight="1">
      <c r="A196" s="12" t="s">
        <v>768</v>
      </c>
      <c r="B196" s="12" t="s">
        <v>292</v>
      </c>
      <c r="C196" s="12" t="s">
        <v>769</v>
      </c>
      <c r="D196" s="12" t="s">
        <v>614</v>
      </c>
      <c r="E196" s="12" t="s">
        <v>770</v>
      </c>
      <c r="F196" s="13" t="s">
        <v>32</v>
      </c>
      <c r="G196" s="13" t="s">
        <v>47</v>
      </c>
      <c r="H196" s="14"/>
      <c r="I196" s="15"/>
      <c r="J196" s="14"/>
      <c r="K196" s="14" t="s">
        <v>100</v>
      </c>
      <c r="L196" s="14"/>
      <c r="M196" s="14"/>
    </row>
    <row r="197" ht="15.75" customHeight="1">
      <c r="A197" s="7" t="s">
        <v>771</v>
      </c>
      <c r="B197" s="7" t="s">
        <v>297</v>
      </c>
      <c r="C197" s="7" t="s">
        <v>772</v>
      </c>
      <c r="D197" s="7" t="s">
        <v>694</v>
      </c>
      <c r="E197" s="7" t="s">
        <v>773</v>
      </c>
      <c r="F197" s="16" t="s">
        <v>32</v>
      </c>
      <c r="G197" s="16" t="s">
        <v>47</v>
      </c>
      <c r="H197" s="14"/>
      <c r="I197" s="15"/>
      <c r="J197" s="14"/>
      <c r="K197" s="14" t="s">
        <v>100</v>
      </c>
      <c r="L197" s="14"/>
      <c r="M197" s="14"/>
    </row>
    <row r="198" ht="15.75" customHeight="1">
      <c r="A198" s="12" t="s">
        <v>774</v>
      </c>
      <c r="B198" s="12" t="s">
        <v>297</v>
      </c>
      <c r="C198" s="12" t="s">
        <v>771</v>
      </c>
      <c r="D198" s="12" t="s">
        <v>576</v>
      </c>
      <c r="E198" s="12" t="s">
        <v>775</v>
      </c>
      <c r="F198" s="13" t="s">
        <v>32</v>
      </c>
      <c r="G198" s="13" t="s">
        <v>47</v>
      </c>
      <c r="H198" s="14"/>
      <c r="I198" s="15"/>
      <c r="J198" s="14"/>
      <c r="K198" s="14" t="s">
        <v>100</v>
      </c>
      <c r="L198" s="14"/>
      <c r="M198" s="14"/>
    </row>
    <row r="199" ht="15.75" customHeight="1">
      <c r="A199" s="7" t="s">
        <v>179</v>
      </c>
      <c r="B199" s="7" t="s">
        <v>297</v>
      </c>
      <c r="C199" s="7" t="s">
        <v>771</v>
      </c>
      <c r="D199" s="7" t="s">
        <v>776</v>
      </c>
      <c r="E199" s="7" t="s">
        <v>777</v>
      </c>
      <c r="F199" s="16" t="s">
        <v>32</v>
      </c>
      <c r="G199" s="16" t="s">
        <v>47</v>
      </c>
      <c r="H199" s="14"/>
      <c r="I199" s="15"/>
      <c r="J199" s="14"/>
      <c r="K199" s="14" t="s">
        <v>100</v>
      </c>
      <c r="L199" s="14"/>
      <c r="M199" s="14"/>
    </row>
    <row r="200" ht="15.75" customHeight="1">
      <c r="A200" s="12" t="s">
        <v>778</v>
      </c>
      <c r="B200" s="12" t="s">
        <v>297</v>
      </c>
      <c r="C200" s="12" t="s">
        <v>771</v>
      </c>
      <c r="D200" s="12" t="s">
        <v>779</v>
      </c>
      <c r="E200" s="12" t="s">
        <v>780</v>
      </c>
      <c r="F200" s="13" t="s">
        <v>32</v>
      </c>
      <c r="G200" s="13" t="s">
        <v>62</v>
      </c>
      <c r="H200" s="14"/>
      <c r="I200" s="15"/>
      <c r="J200" s="14"/>
      <c r="K200" s="14" t="s">
        <v>100</v>
      </c>
      <c r="L200" s="14"/>
      <c r="M200" s="14"/>
    </row>
    <row r="201" ht="15.75" customHeight="1">
      <c r="A201" s="7" t="s">
        <v>781</v>
      </c>
      <c r="B201" s="7" t="s">
        <v>297</v>
      </c>
      <c r="C201" s="7" t="s">
        <v>782</v>
      </c>
      <c r="D201" s="7" t="s">
        <v>776</v>
      </c>
      <c r="E201" s="7" t="s">
        <v>783</v>
      </c>
      <c r="F201" s="16" t="s">
        <v>32</v>
      </c>
      <c r="G201" s="16" t="s">
        <v>47</v>
      </c>
      <c r="H201" s="14"/>
      <c r="I201" s="15"/>
      <c r="J201" s="14"/>
      <c r="K201" s="14" t="s">
        <v>100</v>
      </c>
      <c r="L201" s="14"/>
      <c r="M201" s="14"/>
    </row>
    <row r="202" ht="15.75" customHeight="1">
      <c r="A202" s="12" t="s">
        <v>784</v>
      </c>
      <c r="B202" s="12" t="s">
        <v>297</v>
      </c>
      <c r="C202" s="12" t="s">
        <v>785</v>
      </c>
      <c r="D202" s="12" t="s">
        <v>694</v>
      </c>
      <c r="E202" s="12" t="s">
        <v>786</v>
      </c>
      <c r="F202" s="13" t="s">
        <v>35</v>
      </c>
      <c r="G202" s="13" t="s">
        <v>47</v>
      </c>
      <c r="H202" s="14"/>
      <c r="I202" s="15"/>
      <c r="J202" s="14"/>
      <c r="K202" s="14" t="s">
        <v>100</v>
      </c>
      <c r="L202" s="14"/>
      <c r="M202" s="14"/>
    </row>
    <row r="203" ht="15.75" customHeight="1">
      <c r="A203" s="7" t="s">
        <v>787</v>
      </c>
      <c r="B203" s="7" t="s">
        <v>297</v>
      </c>
      <c r="C203" s="7" t="s">
        <v>788</v>
      </c>
      <c r="D203" s="7" t="s">
        <v>694</v>
      </c>
      <c r="E203" s="7" t="s">
        <v>789</v>
      </c>
      <c r="F203" s="16" t="s">
        <v>35</v>
      </c>
      <c r="G203" s="16" t="s">
        <v>47</v>
      </c>
      <c r="H203" s="14"/>
      <c r="I203" s="15"/>
      <c r="J203" s="14"/>
      <c r="K203" s="14" t="s">
        <v>100</v>
      </c>
      <c r="L203" s="14"/>
      <c r="M203" s="14"/>
    </row>
    <row r="204" ht="15.75" customHeight="1">
      <c r="A204" s="12" t="s">
        <v>790</v>
      </c>
      <c r="B204" s="12" t="s">
        <v>297</v>
      </c>
      <c r="C204" s="12" t="s">
        <v>791</v>
      </c>
      <c r="D204" s="12" t="s">
        <v>792</v>
      </c>
      <c r="E204" s="12" t="s">
        <v>793</v>
      </c>
      <c r="F204" s="13" t="s">
        <v>32</v>
      </c>
      <c r="G204" s="13" t="s">
        <v>47</v>
      </c>
      <c r="H204" s="14"/>
      <c r="I204" s="15"/>
      <c r="J204" s="14"/>
      <c r="K204" s="14" t="s">
        <v>100</v>
      </c>
      <c r="L204" s="14"/>
      <c r="M204" s="14"/>
    </row>
    <row r="205" ht="15.75" customHeight="1">
      <c r="A205" s="7" t="s">
        <v>794</v>
      </c>
      <c r="B205" s="7" t="s">
        <v>297</v>
      </c>
      <c r="C205" s="7" t="s">
        <v>795</v>
      </c>
      <c r="D205" s="7" t="s">
        <v>796</v>
      </c>
      <c r="E205" s="7" t="s">
        <v>797</v>
      </c>
      <c r="F205" s="16" t="s">
        <v>32</v>
      </c>
      <c r="G205" s="16" t="s">
        <v>67</v>
      </c>
      <c r="H205" s="14"/>
      <c r="I205" s="15"/>
      <c r="J205" s="14"/>
      <c r="K205" s="14" t="s">
        <v>100</v>
      </c>
      <c r="L205" s="14"/>
      <c r="M205" s="14"/>
    </row>
    <row r="206" ht="15.75" customHeight="1">
      <c r="A206" s="12" t="s">
        <v>798</v>
      </c>
      <c r="B206" s="12" t="s">
        <v>297</v>
      </c>
      <c r="C206" s="12" t="s">
        <v>799</v>
      </c>
      <c r="D206" s="12" t="s">
        <v>694</v>
      </c>
      <c r="E206" s="12" t="s">
        <v>800</v>
      </c>
      <c r="F206" s="13" t="s">
        <v>32</v>
      </c>
      <c r="G206" s="13" t="s">
        <v>56</v>
      </c>
      <c r="H206" s="14"/>
      <c r="I206" s="15"/>
      <c r="J206" s="14"/>
      <c r="K206" s="14" t="s">
        <v>100</v>
      </c>
      <c r="L206" s="14"/>
      <c r="M206" s="14"/>
    </row>
    <row r="207" ht="15.75" customHeight="1">
      <c r="A207" s="7" t="s">
        <v>801</v>
      </c>
      <c r="B207" s="7" t="s">
        <v>297</v>
      </c>
      <c r="C207" s="7" t="s">
        <v>802</v>
      </c>
      <c r="D207" s="7" t="s">
        <v>694</v>
      </c>
      <c r="E207" s="7" t="s">
        <v>803</v>
      </c>
      <c r="F207" s="16" t="s">
        <v>35</v>
      </c>
      <c r="G207" s="16" t="s">
        <v>47</v>
      </c>
      <c r="H207" s="14"/>
      <c r="I207" s="15"/>
      <c r="J207" s="14"/>
      <c r="K207" s="14" t="s">
        <v>100</v>
      </c>
      <c r="L207" s="14"/>
      <c r="M207" s="14"/>
    </row>
    <row r="208" ht="15.75" customHeight="1">
      <c r="A208" s="12" t="s">
        <v>804</v>
      </c>
      <c r="B208" s="12" t="s">
        <v>297</v>
      </c>
      <c r="C208" s="12" t="s">
        <v>805</v>
      </c>
      <c r="D208" s="12" t="s">
        <v>694</v>
      </c>
      <c r="E208" s="12" t="s">
        <v>806</v>
      </c>
      <c r="F208" s="13" t="s">
        <v>38</v>
      </c>
      <c r="G208" s="13" t="s">
        <v>67</v>
      </c>
      <c r="H208" s="14"/>
      <c r="I208" s="15"/>
      <c r="J208" s="14"/>
      <c r="K208" s="14" t="s">
        <v>100</v>
      </c>
      <c r="L208" s="14"/>
      <c r="M208" s="14"/>
    </row>
    <row r="209" ht="15.75" customHeight="1">
      <c r="A209" s="7" t="s">
        <v>181</v>
      </c>
      <c r="B209" s="7" t="s">
        <v>304</v>
      </c>
      <c r="C209" s="7" t="s">
        <v>807</v>
      </c>
      <c r="D209" s="7" t="s">
        <v>808</v>
      </c>
      <c r="E209" s="7" t="s">
        <v>809</v>
      </c>
      <c r="F209" s="16" t="s">
        <v>32</v>
      </c>
      <c r="G209" s="16" t="s">
        <v>50</v>
      </c>
      <c r="H209" s="14"/>
      <c r="I209" s="15"/>
      <c r="J209" s="14"/>
      <c r="K209" s="14" t="s">
        <v>100</v>
      </c>
      <c r="L209" s="14"/>
      <c r="M209" s="14"/>
    </row>
    <row r="210" ht="15.75" customHeight="1">
      <c r="A210" s="12" t="s">
        <v>810</v>
      </c>
      <c r="B210" s="12" t="s">
        <v>304</v>
      </c>
      <c r="C210" s="12" t="s">
        <v>181</v>
      </c>
      <c r="D210" s="12" t="s">
        <v>655</v>
      </c>
      <c r="E210" s="12" t="s">
        <v>811</v>
      </c>
      <c r="F210" s="13" t="s">
        <v>32</v>
      </c>
      <c r="G210" s="13" t="s">
        <v>47</v>
      </c>
      <c r="H210" s="14"/>
      <c r="I210" s="15"/>
      <c r="J210" s="14"/>
      <c r="K210" s="14" t="s">
        <v>100</v>
      </c>
      <c r="L210" s="14"/>
      <c r="M210" s="14"/>
    </row>
    <row r="211" ht="15.75" customHeight="1">
      <c r="A211" s="7" t="s">
        <v>812</v>
      </c>
      <c r="B211" s="7" t="s">
        <v>304</v>
      </c>
      <c r="C211" s="7" t="s">
        <v>181</v>
      </c>
      <c r="D211" s="7" t="s">
        <v>813</v>
      </c>
      <c r="E211" s="7" t="s">
        <v>814</v>
      </c>
      <c r="F211" s="16" t="s">
        <v>32</v>
      </c>
      <c r="G211" s="16" t="s">
        <v>47</v>
      </c>
      <c r="H211" s="14"/>
      <c r="I211" s="15"/>
      <c r="J211" s="14"/>
      <c r="K211" s="14" t="s">
        <v>100</v>
      </c>
      <c r="L211" s="14"/>
      <c r="M211" s="14"/>
    </row>
    <row r="212" ht="15.75" customHeight="1">
      <c r="A212" s="12" t="s">
        <v>815</v>
      </c>
      <c r="B212" s="12" t="s">
        <v>304</v>
      </c>
      <c r="C212" s="12" t="s">
        <v>816</v>
      </c>
      <c r="D212" s="12" t="s">
        <v>808</v>
      </c>
      <c r="E212" s="12" t="s">
        <v>817</v>
      </c>
      <c r="F212" s="13" t="s">
        <v>32</v>
      </c>
      <c r="G212" s="13" t="s">
        <v>67</v>
      </c>
      <c r="H212" s="14"/>
      <c r="I212" s="15"/>
      <c r="J212" s="14"/>
      <c r="K212" s="14" t="s">
        <v>100</v>
      </c>
      <c r="L212" s="14"/>
      <c r="M212" s="14"/>
    </row>
    <row r="213" ht="15.75" customHeight="1">
      <c r="A213" s="7" t="s">
        <v>818</v>
      </c>
      <c r="B213" s="7" t="s">
        <v>304</v>
      </c>
      <c r="C213" s="7" t="s">
        <v>819</v>
      </c>
      <c r="D213" s="7" t="s">
        <v>594</v>
      </c>
      <c r="E213" s="7" t="s">
        <v>820</v>
      </c>
      <c r="F213" s="16" t="s">
        <v>32</v>
      </c>
      <c r="G213" s="16" t="s">
        <v>47</v>
      </c>
      <c r="H213" s="14"/>
      <c r="I213" s="15"/>
      <c r="J213" s="14"/>
      <c r="K213" s="14" t="s">
        <v>100</v>
      </c>
      <c r="L213" s="14"/>
      <c r="M213" s="14"/>
    </row>
    <row r="214" ht="15.75" customHeight="1">
      <c r="A214" s="12" t="s">
        <v>821</v>
      </c>
      <c r="B214" s="12" t="s">
        <v>304</v>
      </c>
      <c r="C214" s="12" t="s">
        <v>818</v>
      </c>
      <c r="D214" s="12" t="s">
        <v>822</v>
      </c>
      <c r="E214" s="12" t="s">
        <v>823</v>
      </c>
      <c r="F214" s="13" t="s">
        <v>32</v>
      </c>
      <c r="G214" s="13" t="s">
        <v>47</v>
      </c>
      <c r="H214" s="14"/>
      <c r="I214" s="15"/>
      <c r="J214" s="14"/>
      <c r="K214" s="14" t="s">
        <v>100</v>
      </c>
      <c r="L214" s="14"/>
      <c r="M214" s="14"/>
    </row>
    <row r="215" ht="15.75" customHeight="1">
      <c r="A215" s="7" t="s">
        <v>824</v>
      </c>
      <c r="B215" s="7" t="s">
        <v>304</v>
      </c>
      <c r="C215" s="7" t="s">
        <v>825</v>
      </c>
      <c r="D215" s="7" t="s">
        <v>792</v>
      </c>
      <c r="E215" s="7" t="s">
        <v>826</v>
      </c>
      <c r="F215" s="16" t="s">
        <v>35</v>
      </c>
      <c r="G215" s="16" t="s">
        <v>47</v>
      </c>
      <c r="H215" s="14"/>
      <c r="I215" s="15"/>
      <c r="J215" s="14"/>
      <c r="K215" s="14" t="s">
        <v>100</v>
      </c>
      <c r="L215" s="14"/>
      <c r="M215" s="14"/>
    </row>
    <row r="216" ht="15.75" customHeight="1">
      <c r="A216" s="12" t="s">
        <v>827</v>
      </c>
      <c r="B216" s="12" t="s">
        <v>304</v>
      </c>
      <c r="C216" s="12" t="s">
        <v>181</v>
      </c>
      <c r="D216" s="12" t="s">
        <v>757</v>
      </c>
      <c r="E216" s="12" t="s">
        <v>758</v>
      </c>
      <c r="F216" s="13" t="s">
        <v>32</v>
      </c>
      <c r="G216" s="13" t="s">
        <v>47</v>
      </c>
      <c r="H216" s="14"/>
      <c r="I216" s="15"/>
      <c r="J216" s="14"/>
      <c r="K216" s="14" t="s">
        <v>100</v>
      </c>
      <c r="L216" s="14"/>
      <c r="M216" s="14"/>
    </row>
    <row r="217" ht="15.75" customHeight="1">
      <c r="A217" s="7" t="s">
        <v>828</v>
      </c>
      <c r="B217" s="7" t="s">
        <v>304</v>
      </c>
      <c r="C217" s="7" t="s">
        <v>829</v>
      </c>
      <c r="D217" s="7" t="s">
        <v>808</v>
      </c>
      <c r="E217" s="7" t="s">
        <v>830</v>
      </c>
      <c r="F217" s="16" t="s">
        <v>32</v>
      </c>
      <c r="G217" s="16" t="s">
        <v>50</v>
      </c>
      <c r="H217" s="14"/>
      <c r="I217" s="15"/>
      <c r="J217" s="14"/>
      <c r="K217" s="14" t="s">
        <v>100</v>
      </c>
      <c r="L217" s="14"/>
      <c r="M217" s="14"/>
    </row>
    <row r="218" ht="15.75" customHeight="1">
      <c r="A218" s="12" t="s">
        <v>831</v>
      </c>
      <c r="B218" s="12" t="s">
        <v>304</v>
      </c>
      <c r="C218" s="12" t="s">
        <v>832</v>
      </c>
      <c r="D218" s="12" t="s">
        <v>594</v>
      </c>
      <c r="E218" s="12" t="s">
        <v>833</v>
      </c>
      <c r="F218" s="13" t="s">
        <v>35</v>
      </c>
      <c r="G218" s="13" t="s">
        <v>56</v>
      </c>
      <c r="H218" s="14"/>
      <c r="I218" s="15"/>
      <c r="J218" s="14"/>
      <c r="K218" s="14" t="s">
        <v>100</v>
      </c>
      <c r="L218" s="14"/>
      <c r="M218" s="14"/>
    </row>
    <row r="219" ht="15.75" customHeight="1">
      <c r="A219" s="7" t="s">
        <v>834</v>
      </c>
      <c r="B219" s="7" t="s">
        <v>304</v>
      </c>
      <c r="C219" s="7" t="s">
        <v>835</v>
      </c>
      <c r="D219" s="7" t="s">
        <v>808</v>
      </c>
      <c r="E219" s="7" t="s">
        <v>836</v>
      </c>
      <c r="F219" s="16" t="s">
        <v>32</v>
      </c>
      <c r="G219" s="16" t="s">
        <v>47</v>
      </c>
      <c r="H219" s="14"/>
      <c r="I219" s="15"/>
      <c r="J219" s="14"/>
      <c r="K219" s="14" t="s">
        <v>100</v>
      </c>
      <c r="L219" s="14"/>
      <c r="M219" s="14"/>
    </row>
    <row r="220" ht="15.75" customHeight="1">
      <c r="A220" s="12" t="s">
        <v>837</v>
      </c>
      <c r="B220" s="12" t="s">
        <v>313</v>
      </c>
      <c r="C220" s="12" t="s">
        <v>838</v>
      </c>
      <c r="D220" s="12" t="s">
        <v>839</v>
      </c>
      <c r="E220" s="12" t="s">
        <v>840</v>
      </c>
      <c r="F220" s="13" t="s">
        <v>32</v>
      </c>
      <c r="G220" s="13" t="s">
        <v>47</v>
      </c>
      <c r="H220" s="14"/>
      <c r="I220" s="15"/>
      <c r="J220" s="14"/>
      <c r="K220" s="14" t="s">
        <v>100</v>
      </c>
      <c r="L220" s="14"/>
      <c r="M220" s="14"/>
    </row>
    <row r="221" ht="15.75" customHeight="1">
      <c r="A221" s="7" t="s">
        <v>841</v>
      </c>
      <c r="B221" s="7" t="s">
        <v>313</v>
      </c>
      <c r="C221" s="7" t="s">
        <v>842</v>
      </c>
      <c r="D221" s="7" t="s">
        <v>843</v>
      </c>
      <c r="E221" s="7" t="s">
        <v>844</v>
      </c>
      <c r="F221" s="16" t="s">
        <v>32</v>
      </c>
      <c r="G221" s="16" t="s">
        <v>50</v>
      </c>
      <c r="H221" s="14"/>
      <c r="I221" s="15"/>
      <c r="J221" s="14"/>
      <c r="K221" s="14" t="s">
        <v>100</v>
      </c>
      <c r="L221" s="14"/>
      <c r="M221" s="14"/>
    </row>
    <row r="222" ht="15.75" customHeight="1">
      <c r="A222" s="12" t="s">
        <v>845</v>
      </c>
      <c r="B222" s="12" t="s">
        <v>313</v>
      </c>
      <c r="C222" s="12" t="s">
        <v>846</v>
      </c>
      <c r="D222" s="12" t="s">
        <v>847</v>
      </c>
      <c r="E222" s="12" t="s">
        <v>848</v>
      </c>
      <c r="F222" s="13" t="s">
        <v>32</v>
      </c>
      <c r="G222" s="13" t="s">
        <v>47</v>
      </c>
      <c r="H222" s="14"/>
      <c r="I222" s="15"/>
      <c r="J222" s="14"/>
      <c r="K222" s="14" t="s">
        <v>100</v>
      </c>
      <c r="L222" s="14"/>
      <c r="M222" s="14"/>
    </row>
    <row r="223" ht="15.75" customHeight="1">
      <c r="A223" s="7" t="s">
        <v>183</v>
      </c>
      <c r="B223" s="7" t="s">
        <v>313</v>
      </c>
      <c r="C223" s="7" t="s">
        <v>846</v>
      </c>
      <c r="D223" s="7" t="s">
        <v>849</v>
      </c>
      <c r="E223" s="7" t="s">
        <v>850</v>
      </c>
      <c r="F223" s="16" t="s">
        <v>32</v>
      </c>
      <c r="G223" s="16" t="s">
        <v>47</v>
      </c>
      <c r="H223" s="14"/>
      <c r="I223" s="15"/>
      <c r="J223" s="14"/>
      <c r="K223" s="14" t="s">
        <v>100</v>
      </c>
      <c r="L223" s="14"/>
      <c r="M223" s="14"/>
    </row>
    <row r="224" ht="15.75" customHeight="1">
      <c r="A224" s="12" t="s">
        <v>851</v>
      </c>
      <c r="B224" s="12" t="s">
        <v>313</v>
      </c>
      <c r="C224" s="12" t="s">
        <v>183</v>
      </c>
      <c r="D224" s="12" t="s">
        <v>852</v>
      </c>
      <c r="E224" s="12" t="s">
        <v>853</v>
      </c>
      <c r="F224" s="13" t="s">
        <v>32</v>
      </c>
      <c r="G224" s="13" t="s">
        <v>56</v>
      </c>
      <c r="H224" s="14"/>
      <c r="I224" s="15"/>
      <c r="J224" s="14"/>
      <c r="K224" s="14" t="s">
        <v>100</v>
      </c>
      <c r="L224" s="14"/>
      <c r="M224" s="14"/>
    </row>
    <row r="225" ht="15.75" customHeight="1">
      <c r="A225" s="7" t="s">
        <v>854</v>
      </c>
      <c r="B225" s="7" t="s">
        <v>313</v>
      </c>
      <c r="C225" s="7" t="s">
        <v>855</v>
      </c>
      <c r="D225" s="7" t="s">
        <v>847</v>
      </c>
      <c r="E225" s="7" t="s">
        <v>856</v>
      </c>
      <c r="F225" s="16" t="s">
        <v>32</v>
      </c>
      <c r="G225" s="16" t="s">
        <v>47</v>
      </c>
      <c r="H225" s="14"/>
      <c r="I225" s="15"/>
      <c r="J225" s="14"/>
      <c r="K225" s="14" t="s">
        <v>100</v>
      </c>
      <c r="L225" s="14"/>
      <c r="M225" s="14"/>
    </row>
    <row r="226" ht="15.75" customHeight="1">
      <c r="A226" s="12" t="s">
        <v>857</v>
      </c>
      <c r="B226" s="12" t="s">
        <v>313</v>
      </c>
      <c r="C226" s="12" t="s">
        <v>858</v>
      </c>
      <c r="D226" s="12" t="s">
        <v>694</v>
      </c>
      <c r="E226" s="12" t="s">
        <v>859</v>
      </c>
      <c r="F226" s="13" t="s">
        <v>32</v>
      </c>
      <c r="G226" s="13" t="s">
        <v>47</v>
      </c>
      <c r="H226" s="14"/>
      <c r="I226" s="15"/>
      <c r="J226" s="14"/>
      <c r="K226" s="14" t="s">
        <v>100</v>
      </c>
      <c r="L226" s="14"/>
      <c r="M226" s="14"/>
    </row>
    <row r="227" ht="15.75" customHeight="1">
      <c r="A227" s="7" t="s">
        <v>860</v>
      </c>
      <c r="B227" s="7" t="s">
        <v>313</v>
      </c>
      <c r="C227" s="7" t="s">
        <v>74</v>
      </c>
      <c r="D227" s="7" t="s">
        <v>861</v>
      </c>
      <c r="E227" s="7" t="s">
        <v>862</v>
      </c>
      <c r="F227" s="16" t="s">
        <v>35</v>
      </c>
      <c r="G227" s="16" t="s">
        <v>47</v>
      </c>
      <c r="H227" s="14"/>
      <c r="I227" s="15"/>
      <c r="J227" s="14"/>
      <c r="K227" s="14" t="s">
        <v>100</v>
      </c>
      <c r="L227" s="14"/>
      <c r="M227" s="14"/>
    </row>
    <row r="228" ht="15.75" customHeight="1">
      <c r="A228" s="12" t="s">
        <v>863</v>
      </c>
      <c r="B228" s="12" t="s">
        <v>313</v>
      </c>
      <c r="C228" s="12" t="s">
        <v>864</v>
      </c>
      <c r="D228" s="12" t="s">
        <v>865</v>
      </c>
      <c r="E228" s="12" t="s">
        <v>866</v>
      </c>
      <c r="F228" s="13" t="s">
        <v>35</v>
      </c>
      <c r="G228" s="13" t="s">
        <v>47</v>
      </c>
      <c r="H228" s="14"/>
      <c r="I228" s="15"/>
      <c r="J228" s="14"/>
      <c r="K228" s="14" t="s">
        <v>100</v>
      </c>
      <c r="L228" s="14"/>
      <c r="M228" s="14"/>
    </row>
    <row r="229" ht="15.75" customHeight="1">
      <c r="A229" s="7" t="s">
        <v>867</v>
      </c>
      <c r="B229" s="7" t="s">
        <v>313</v>
      </c>
      <c r="C229" s="7" t="s">
        <v>868</v>
      </c>
      <c r="D229" s="7" t="s">
        <v>869</v>
      </c>
      <c r="E229" s="7" t="s">
        <v>870</v>
      </c>
      <c r="F229" s="16" t="s">
        <v>32</v>
      </c>
      <c r="G229" s="16" t="s">
        <v>50</v>
      </c>
      <c r="H229" s="14"/>
      <c r="I229" s="15"/>
      <c r="J229" s="14"/>
      <c r="K229" s="14" t="s">
        <v>100</v>
      </c>
      <c r="L229" s="14"/>
      <c r="M229" s="14"/>
    </row>
    <row r="230" ht="15.75" customHeight="1">
      <c r="A230" s="12" t="s">
        <v>871</v>
      </c>
      <c r="B230" s="12" t="s">
        <v>313</v>
      </c>
      <c r="C230" s="12" t="s">
        <v>872</v>
      </c>
      <c r="D230" s="12" t="s">
        <v>873</v>
      </c>
      <c r="E230" s="12" t="s">
        <v>874</v>
      </c>
      <c r="F230" s="13" t="s">
        <v>35</v>
      </c>
      <c r="G230" s="13" t="s">
        <v>47</v>
      </c>
      <c r="H230" s="14"/>
      <c r="I230" s="15"/>
      <c r="J230" s="14"/>
      <c r="K230" s="14" t="s">
        <v>100</v>
      </c>
      <c r="L230" s="14"/>
      <c r="M230" s="14"/>
    </row>
    <row r="231" ht="15.75" customHeight="1">
      <c r="A231" s="7" t="s">
        <v>875</v>
      </c>
      <c r="B231" s="7" t="s">
        <v>313</v>
      </c>
      <c r="C231" s="7" t="s">
        <v>183</v>
      </c>
      <c r="D231" s="7" t="s">
        <v>876</v>
      </c>
      <c r="E231" s="7" t="s">
        <v>877</v>
      </c>
      <c r="F231" s="16" t="s">
        <v>32</v>
      </c>
      <c r="G231" s="16" t="s">
        <v>50</v>
      </c>
      <c r="H231" s="14"/>
      <c r="I231" s="15"/>
      <c r="J231" s="14"/>
      <c r="K231" s="14" t="s">
        <v>100</v>
      </c>
      <c r="L231" s="14"/>
      <c r="M231" s="14"/>
    </row>
    <row r="232" ht="15.75" customHeight="1">
      <c r="A232" s="12" t="s">
        <v>878</v>
      </c>
      <c r="B232" s="12" t="s">
        <v>313</v>
      </c>
      <c r="C232" s="12" t="s">
        <v>74</v>
      </c>
      <c r="D232" s="12" t="s">
        <v>879</v>
      </c>
      <c r="E232" s="12" t="s">
        <v>880</v>
      </c>
      <c r="F232" s="13" t="s">
        <v>35</v>
      </c>
      <c r="G232" s="13" t="s">
        <v>67</v>
      </c>
      <c r="H232" s="14"/>
      <c r="I232" s="15"/>
      <c r="J232" s="14"/>
      <c r="K232" s="14" t="s">
        <v>100</v>
      </c>
      <c r="L232" s="14"/>
      <c r="M232" s="14"/>
    </row>
    <row r="233" ht="15.75" customHeight="1">
      <c r="A233" s="7" t="s">
        <v>881</v>
      </c>
      <c r="B233" s="7" t="s">
        <v>321</v>
      </c>
      <c r="C233" s="7" t="s">
        <v>882</v>
      </c>
      <c r="D233" s="7" t="s">
        <v>883</v>
      </c>
      <c r="E233" s="7" t="s">
        <v>884</v>
      </c>
      <c r="F233" s="16" t="s">
        <v>32</v>
      </c>
      <c r="G233" s="16" t="s">
        <v>56</v>
      </c>
      <c r="H233" s="14"/>
      <c r="I233" s="15"/>
      <c r="J233" s="14"/>
      <c r="K233" s="14" t="s">
        <v>100</v>
      </c>
      <c r="L233" s="14"/>
      <c r="M233" s="14"/>
    </row>
    <row r="234" ht="15.75" customHeight="1">
      <c r="A234" s="12" t="s">
        <v>885</v>
      </c>
      <c r="B234" s="12" t="s">
        <v>321</v>
      </c>
      <c r="C234" s="12" t="s">
        <v>41</v>
      </c>
      <c r="D234" s="12" t="s">
        <v>886</v>
      </c>
      <c r="E234" s="12" t="s">
        <v>887</v>
      </c>
      <c r="F234" s="13" t="s">
        <v>32</v>
      </c>
      <c r="G234" s="13" t="s">
        <v>56</v>
      </c>
      <c r="H234" s="14"/>
      <c r="I234" s="15"/>
      <c r="J234" s="14"/>
      <c r="K234" s="14" t="s">
        <v>100</v>
      </c>
      <c r="L234" s="14"/>
      <c r="M234" s="14"/>
    </row>
    <row r="235" ht="15.75" customHeight="1">
      <c r="A235" s="7" t="s">
        <v>888</v>
      </c>
      <c r="B235" s="7" t="s">
        <v>321</v>
      </c>
      <c r="C235" s="7" t="s">
        <v>41</v>
      </c>
      <c r="D235" s="7" t="s">
        <v>889</v>
      </c>
      <c r="E235" s="7" t="s">
        <v>890</v>
      </c>
      <c r="F235" s="16" t="s">
        <v>32</v>
      </c>
      <c r="G235" s="16" t="s">
        <v>56</v>
      </c>
      <c r="H235" s="14"/>
      <c r="I235" s="15"/>
      <c r="J235" s="14"/>
      <c r="K235" s="14" t="s">
        <v>100</v>
      </c>
      <c r="L235" s="14"/>
      <c r="M235" s="14"/>
    </row>
    <row r="236" ht="15.75" customHeight="1">
      <c r="A236" s="12" t="s">
        <v>891</v>
      </c>
      <c r="B236" s="12" t="s">
        <v>321</v>
      </c>
      <c r="C236" s="12" t="s">
        <v>41</v>
      </c>
      <c r="D236" s="12" t="s">
        <v>892</v>
      </c>
      <c r="E236" s="12" t="s">
        <v>893</v>
      </c>
      <c r="F236" s="13" t="s">
        <v>32</v>
      </c>
      <c r="G236" s="13" t="s">
        <v>67</v>
      </c>
      <c r="H236" s="14"/>
      <c r="I236" s="15"/>
      <c r="J236" s="14"/>
      <c r="K236" s="14" t="s">
        <v>100</v>
      </c>
      <c r="L236" s="14"/>
      <c r="M236" s="14"/>
    </row>
    <row r="237" ht="15.75" customHeight="1">
      <c r="A237" s="7" t="s">
        <v>894</v>
      </c>
      <c r="B237" s="7" t="s">
        <v>321</v>
      </c>
      <c r="C237" s="7" t="s">
        <v>41</v>
      </c>
      <c r="D237" s="7" t="s">
        <v>895</v>
      </c>
      <c r="E237" s="7" t="s">
        <v>896</v>
      </c>
      <c r="F237" s="16" t="s">
        <v>35</v>
      </c>
      <c r="G237" s="16" t="s">
        <v>67</v>
      </c>
      <c r="H237" s="14"/>
      <c r="I237" s="15"/>
      <c r="J237" s="14"/>
      <c r="K237" s="14" t="s">
        <v>100</v>
      </c>
      <c r="L237" s="14"/>
      <c r="M237" s="14"/>
    </row>
    <row r="238" ht="15.75" customHeight="1">
      <c r="A238" s="12" t="s">
        <v>897</v>
      </c>
      <c r="B238" s="12" t="s">
        <v>321</v>
      </c>
      <c r="C238" s="12" t="s">
        <v>41</v>
      </c>
      <c r="D238" s="12" t="s">
        <v>898</v>
      </c>
      <c r="E238" s="12" t="s">
        <v>899</v>
      </c>
      <c r="F238" s="13" t="s">
        <v>35</v>
      </c>
      <c r="G238" s="13" t="s">
        <v>67</v>
      </c>
      <c r="H238" s="14"/>
      <c r="I238" s="15"/>
      <c r="J238" s="14"/>
      <c r="K238" s="14" t="s">
        <v>100</v>
      </c>
      <c r="L238" s="14"/>
      <c r="M238" s="14"/>
    </row>
    <row r="239" ht="15.75" customHeight="1">
      <c r="A239" s="7" t="s">
        <v>900</v>
      </c>
      <c r="B239" s="7" t="s">
        <v>321</v>
      </c>
      <c r="C239" s="7" t="s">
        <v>41</v>
      </c>
      <c r="D239" s="7" t="s">
        <v>901</v>
      </c>
      <c r="E239" s="7" t="s">
        <v>902</v>
      </c>
      <c r="F239" s="16" t="s">
        <v>32</v>
      </c>
      <c r="G239" s="16" t="s">
        <v>47</v>
      </c>
      <c r="H239" s="14"/>
      <c r="I239" s="15"/>
      <c r="J239" s="14"/>
      <c r="K239" s="14" t="s">
        <v>100</v>
      </c>
      <c r="L239" s="14"/>
      <c r="M239" s="14"/>
    </row>
    <row r="240" ht="15.75" customHeight="1">
      <c r="A240" s="12" t="s">
        <v>903</v>
      </c>
      <c r="B240" s="12" t="s">
        <v>321</v>
      </c>
      <c r="C240" s="12" t="s">
        <v>41</v>
      </c>
      <c r="D240" s="12" t="s">
        <v>904</v>
      </c>
      <c r="E240" s="12" t="s">
        <v>905</v>
      </c>
      <c r="F240" s="13" t="s">
        <v>35</v>
      </c>
      <c r="G240" s="13" t="s">
        <v>62</v>
      </c>
      <c r="H240" s="14"/>
      <c r="I240" s="15"/>
      <c r="J240" s="14"/>
      <c r="K240" s="14" t="s">
        <v>100</v>
      </c>
      <c r="L240" s="14"/>
      <c r="M240" s="14"/>
    </row>
    <row r="241" ht="15.75" customHeight="1">
      <c r="A241" s="7" t="s">
        <v>906</v>
      </c>
      <c r="B241" s="7" t="s">
        <v>321</v>
      </c>
      <c r="C241" s="7" t="s">
        <v>41</v>
      </c>
      <c r="D241" s="7" t="s">
        <v>907</v>
      </c>
      <c r="E241" s="7" t="s">
        <v>908</v>
      </c>
      <c r="F241" s="16" t="s">
        <v>32</v>
      </c>
      <c r="G241" s="16" t="s">
        <v>62</v>
      </c>
      <c r="H241" s="14"/>
      <c r="I241" s="15"/>
      <c r="J241" s="14"/>
      <c r="K241" s="14" t="s">
        <v>100</v>
      </c>
      <c r="L241" s="14"/>
      <c r="M241" s="14"/>
    </row>
    <row r="242" ht="15.75" customHeight="1">
      <c r="A242" s="12" t="s">
        <v>909</v>
      </c>
      <c r="B242" s="12" t="s">
        <v>321</v>
      </c>
      <c r="C242" s="12" t="s">
        <v>41</v>
      </c>
      <c r="D242" s="12" t="s">
        <v>910</v>
      </c>
      <c r="E242" s="12" t="s">
        <v>911</v>
      </c>
      <c r="F242" s="13" t="s">
        <v>35</v>
      </c>
      <c r="G242" s="13" t="s">
        <v>62</v>
      </c>
      <c r="H242" s="14"/>
      <c r="I242" s="15"/>
      <c r="J242" s="14"/>
      <c r="K242" s="14" t="s">
        <v>100</v>
      </c>
      <c r="L242" s="14"/>
      <c r="M242" s="14"/>
    </row>
    <row r="243" ht="15.75" customHeight="1">
      <c r="A243" s="7" t="s">
        <v>912</v>
      </c>
      <c r="B243" s="7" t="s">
        <v>321</v>
      </c>
      <c r="C243" s="7" t="s">
        <v>913</v>
      </c>
      <c r="D243" s="7" t="s">
        <v>641</v>
      </c>
      <c r="E243" s="7" t="s">
        <v>914</v>
      </c>
      <c r="F243" s="16" t="s">
        <v>38</v>
      </c>
      <c r="G243" s="16" t="s">
        <v>62</v>
      </c>
      <c r="H243" s="14"/>
      <c r="I243" s="15"/>
      <c r="J243" s="14"/>
      <c r="K243" s="14" t="s">
        <v>100</v>
      </c>
      <c r="L243" s="14"/>
      <c r="M243" s="14"/>
    </row>
    <row r="244" ht="15.75" customHeight="1">
      <c r="A244" s="12" t="s">
        <v>915</v>
      </c>
      <c r="B244" s="12" t="s">
        <v>321</v>
      </c>
      <c r="C244" s="12" t="s">
        <v>41</v>
      </c>
      <c r="D244" s="12" t="s">
        <v>916</v>
      </c>
      <c r="E244" s="12" t="s">
        <v>917</v>
      </c>
      <c r="F244" s="13" t="s">
        <v>32</v>
      </c>
      <c r="G244" s="13" t="s">
        <v>47</v>
      </c>
      <c r="H244" s="14"/>
      <c r="I244" s="15"/>
      <c r="J244" s="14"/>
      <c r="K244" s="14" t="s">
        <v>100</v>
      </c>
      <c r="L244" s="14"/>
      <c r="M244" s="14"/>
    </row>
    <row r="245" ht="15.75" customHeight="1">
      <c r="A245" s="7" t="s">
        <v>918</v>
      </c>
      <c r="B245" s="7" t="s">
        <v>329</v>
      </c>
      <c r="C245" s="7" t="s">
        <v>919</v>
      </c>
      <c r="D245" s="7" t="s">
        <v>920</v>
      </c>
      <c r="E245" s="7" t="s">
        <v>921</v>
      </c>
      <c r="F245" s="16" t="s">
        <v>35</v>
      </c>
      <c r="G245" s="16" t="s">
        <v>67</v>
      </c>
      <c r="H245" s="14"/>
      <c r="I245" s="15"/>
      <c r="J245" s="14"/>
      <c r="K245" s="14" t="s">
        <v>100</v>
      </c>
      <c r="L245" s="14"/>
      <c r="M245" s="14"/>
    </row>
    <row r="246" ht="15.75" customHeight="1">
      <c r="A246" s="12" t="s">
        <v>922</v>
      </c>
      <c r="B246" s="12" t="s">
        <v>329</v>
      </c>
      <c r="C246" s="12" t="s">
        <v>919</v>
      </c>
      <c r="D246" s="12" t="s">
        <v>923</v>
      </c>
      <c r="E246" s="12" t="s">
        <v>921</v>
      </c>
      <c r="F246" s="13" t="s">
        <v>35</v>
      </c>
      <c r="G246" s="13" t="s">
        <v>67</v>
      </c>
      <c r="H246" s="14"/>
      <c r="I246" s="15"/>
      <c r="J246" s="14"/>
      <c r="K246" s="14" t="s">
        <v>100</v>
      </c>
      <c r="L246" s="14"/>
      <c r="M246" s="14"/>
    </row>
    <row r="247" ht="15.75" customHeight="1">
      <c r="A247" s="7" t="s">
        <v>924</v>
      </c>
      <c r="B247" s="7" t="s">
        <v>329</v>
      </c>
      <c r="C247" s="7" t="s">
        <v>919</v>
      </c>
      <c r="D247" s="7" t="s">
        <v>925</v>
      </c>
      <c r="E247" s="7" t="s">
        <v>926</v>
      </c>
      <c r="F247" s="16" t="s">
        <v>35</v>
      </c>
      <c r="G247" s="16" t="s">
        <v>67</v>
      </c>
      <c r="H247" s="14"/>
      <c r="I247" s="15"/>
      <c r="J247" s="14"/>
      <c r="K247" s="14" t="s">
        <v>100</v>
      </c>
      <c r="L247" s="14"/>
      <c r="M247" s="14"/>
    </row>
    <row r="248" ht="15.75" customHeight="1">
      <c r="A248" s="12" t="s">
        <v>927</v>
      </c>
      <c r="B248" s="12" t="s">
        <v>329</v>
      </c>
      <c r="C248" s="12" t="s">
        <v>919</v>
      </c>
      <c r="D248" s="12" t="s">
        <v>928</v>
      </c>
      <c r="E248" s="12" t="s">
        <v>929</v>
      </c>
      <c r="F248" s="13" t="s">
        <v>35</v>
      </c>
      <c r="G248" s="13" t="s">
        <v>67</v>
      </c>
      <c r="H248" s="14"/>
      <c r="I248" s="15"/>
      <c r="J248" s="14"/>
      <c r="K248" s="14" t="s">
        <v>100</v>
      </c>
      <c r="L248" s="14"/>
      <c r="M248" s="14"/>
    </row>
    <row r="249" ht="15.75" customHeight="1">
      <c r="A249" s="7" t="s">
        <v>930</v>
      </c>
      <c r="B249" s="7" t="s">
        <v>329</v>
      </c>
      <c r="C249" s="7" t="s">
        <v>919</v>
      </c>
      <c r="D249" s="7" t="s">
        <v>931</v>
      </c>
      <c r="E249" s="7" t="s">
        <v>932</v>
      </c>
      <c r="F249" s="16" t="s">
        <v>35</v>
      </c>
      <c r="G249" s="16" t="s">
        <v>67</v>
      </c>
      <c r="H249" s="14"/>
      <c r="I249" s="15"/>
      <c r="J249" s="14"/>
      <c r="K249" s="14" t="s">
        <v>100</v>
      </c>
      <c r="L249" s="14"/>
      <c r="M249" s="14"/>
    </row>
    <row r="250" ht="15.75" customHeight="1">
      <c r="A250" s="12" t="s">
        <v>933</v>
      </c>
      <c r="B250" s="12" t="s">
        <v>329</v>
      </c>
      <c r="C250" s="12" t="s">
        <v>919</v>
      </c>
      <c r="D250" s="12" t="s">
        <v>934</v>
      </c>
      <c r="E250" s="12" t="s">
        <v>935</v>
      </c>
      <c r="F250" s="13" t="s">
        <v>35</v>
      </c>
      <c r="G250" s="13" t="s">
        <v>67</v>
      </c>
      <c r="H250" s="14"/>
      <c r="I250" s="15"/>
      <c r="J250" s="14"/>
      <c r="K250" s="14" t="s">
        <v>100</v>
      </c>
      <c r="L250" s="14"/>
      <c r="M250" s="14"/>
    </row>
    <row r="251" ht="15.75" customHeight="1">
      <c r="A251" s="7" t="s">
        <v>936</v>
      </c>
      <c r="B251" s="7" t="s">
        <v>329</v>
      </c>
      <c r="C251" s="7" t="s">
        <v>919</v>
      </c>
      <c r="D251" s="7" t="s">
        <v>937</v>
      </c>
      <c r="E251" s="7" t="s">
        <v>938</v>
      </c>
      <c r="F251" s="16" t="s">
        <v>35</v>
      </c>
      <c r="G251" s="16" t="s">
        <v>67</v>
      </c>
      <c r="H251" s="14"/>
      <c r="I251" s="15"/>
      <c r="J251" s="14"/>
      <c r="K251" s="14" t="s">
        <v>100</v>
      </c>
      <c r="L251" s="14"/>
      <c r="M251" s="14"/>
    </row>
    <row r="252" ht="15.75" customHeight="1">
      <c r="A252" s="12" t="s">
        <v>939</v>
      </c>
      <c r="B252" s="12" t="s">
        <v>329</v>
      </c>
      <c r="C252" s="12" t="s">
        <v>919</v>
      </c>
      <c r="D252" s="12" t="s">
        <v>940</v>
      </c>
      <c r="E252" s="12" t="s">
        <v>941</v>
      </c>
      <c r="F252" s="13" t="s">
        <v>35</v>
      </c>
      <c r="G252" s="13" t="s">
        <v>67</v>
      </c>
      <c r="H252" s="14"/>
      <c r="I252" s="15"/>
      <c r="J252" s="14"/>
      <c r="K252" s="14" t="s">
        <v>100</v>
      </c>
      <c r="L252" s="14"/>
      <c r="M252" s="14"/>
    </row>
    <row r="253" ht="15.75" customHeight="1">
      <c r="A253" s="7" t="s">
        <v>942</v>
      </c>
      <c r="B253" s="7" t="s">
        <v>329</v>
      </c>
      <c r="C253" s="7" t="s">
        <v>919</v>
      </c>
      <c r="D253" s="7" t="s">
        <v>943</v>
      </c>
      <c r="E253" s="7" t="s">
        <v>944</v>
      </c>
      <c r="F253" s="16" t="s">
        <v>32</v>
      </c>
      <c r="G253" s="16" t="s">
        <v>67</v>
      </c>
      <c r="H253" s="14"/>
      <c r="I253" s="15"/>
      <c r="J253" s="14"/>
      <c r="K253" s="14" t="s">
        <v>100</v>
      </c>
      <c r="L253" s="14"/>
      <c r="M253" s="14"/>
    </row>
    <row r="254" ht="15.75" customHeight="1">
      <c r="A254" s="12" t="s">
        <v>945</v>
      </c>
      <c r="B254" s="12" t="s">
        <v>329</v>
      </c>
      <c r="C254" s="12" t="s">
        <v>919</v>
      </c>
      <c r="D254" s="12" t="s">
        <v>946</v>
      </c>
      <c r="E254" s="12" t="s">
        <v>947</v>
      </c>
      <c r="F254" s="13" t="s">
        <v>38</v>
      </c>
      <c r="G254" s="13" t="s">
        <v>67</v>
      </c>
      <c r="H254" s="14"/>
      <c r="I254" s="15"/>
      <c r="J254" s="14"/>
      <c r="K254" s="14" t="s">
        <v>100</v>
      </c>
      <c r="L254" s="14"/>
      <c r="M254" s="1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254"/>
  <conditionalFormatting sqref="K2:K254">
    <cfRule type="cellIs" dxfId="2" priority="1" operator="equal">
      <formula>"Aprobado"</formula>
    </cfRule>
  </conditionalFormatting>
  <conditionalFormatting sqref="K2:K254">
    <cfRule type="cellIs" dxfId="3" priority="2" operator="equal">
      <formula>"Fallido"</formula>
    </cfRule>
  </conditionalFormatting>
  <conditionalFormatting sqref="K2:K254">
    <cfRule type="cellIs" dxfId="4" priority="3" operator="equal">
      <formula>"Bloqueado"</formula>
    </cfRule>
  </conditionalFormatting>
  <dataValidations>
    <dataValidation type="list" allowBlank="1" showErrorMessage="1" sqref="F2:F254">
      <formula1>"A,B,C"</formula1>
    </dataValidation>
    <dataValidation type="list" allowBlank="1" showErrorMessage="1" sqref="A2:A254">
      <formula1>"CP-REG-01,CP-REG-02,CP-REG-03,CP-REG-04,CP-REG-05,CP-REG-06,CP-REG-07,CP-REG-08,CP-REG-09,CP-REG-10,CP-REG-11,CP-REG-12,CP-REG-13,CP-REG-14,CP-REG-15,CP-REG-16,CP-REG-17,CP-REG-18,CP-LOG-01,CP-LOG-02,CP-LOG-03,CP-LOG-04,CP-LOG-05,CP-LOG-06,CP-LOG-07,CP-LO"&amp;"G-08,CP-LOG-09,CP-LOG-10,CP-LOG-11,CP-LOG-12,CP-REC-01,CP-REC-02,CP-REC-03,CP-REC-04,CP-REC-05,CP-REC-06,CP-REC-07,CP-REC-08,CP-REC-09,CP-REC-10,CP-SES-01,CP-SES-02,CP-SES-03,CP-SES-04,CP-SES-05,CP-SES-06,CP-SES-07,CP-SES-08,CP-SES-09,CP-SES-10,CP-SES-11,"&amp;"CP-SES-12,CP-SEC-01,CP-SEC-02,CP-SEC-03,CP-SEC-04,CP-SEC-05,CP-SEC-06,CP-SEC-07,CP-SEC-08,CP-SEC-09,CP-SEC-10,CP-SEC-11,CP-SEC-12,CP-SEC-13,CP-SEC-14,CP-SEC-15,CP-SEC-16,CP-SEC-17,CP-SEC-18,CP-SEC-19,CP-SEC-20,CP-SEC-21,CP-SEC-22,CP-SEC-23,CP-SEC-24,CP-SE"&amp;"C-25,CP-SEC-26,CP-SEC-27,CP-SEC-28,CP-SEC-29,CP-SEC-30,CP-SEC-31,CP-SEC-32,CP-SEC-33,CP-FOT-01,CP-FOT-02,CP-FOT-03,CP-FOT-04,CP-FOT-05,CP-FOT-06,CP-FOT-07,CP-FOT-08,CP-FOT-09,CP-FOT-10,CP-FOT-11,CP-FOT-12,CP-FOT-13,CP-FOT-14,CP-FOT-15,CP-FOT-16,CP-FOT-17,"&amp;"CP-FOT-18,CP-UBI-01,CP-UBI-02,CP-UBI-03,CP-UBI-04,CP-UBI-05,CP-UBI-06,CP-UBI-07,CP-UBI-08,CP-UBI-09,CP-UBI-10,CP-UBI-11,CP-UBI-12,CP-DES-01,CP-DES-02,CP-DES-03,CP-DES-04,CP-DES-05,CP-DES-06,CP-DES-07,CP-DES-08,CP-DES-09,CP-DES-10,CP-DES-11,CP-DES-12,CP-DE"&amp;"S-13,CP-DES-14,CP-DES-15,CP-DES-16,CP-DES-17,CP-DES-18,CP-DES-19,CP-DES-20,CP-MAP-01,CP-MAP-02,CP-MAP-03,CP-MAP-04,CP-MAP-05,CP-MAP-06,CP-MAP-07,CP-MAP-08,CP-MAP-09,CP-MAP-10,CP-MAP-11,CP-MAP-12,CP-DUP-01,CP-DUP-02,CP-DUP-03,CP-DUP-04,CP-DUP-05,CP-DUP-06,"&amp;"CP-DUP-07,CP-DUP-08,CP-DUP-09,CP-DUP-10,CP-DUP-11,CP-DUP-12,CP-DUP-13,CP-DUP-14,CP-DUP-15,CP-DUP-16,CP-DUP-17,CP-DUP-18,CP-CON-01,CP-CON-02,CP-CON-03,CP-CON-04,CP-CON-05,CP-CON-06,CP-CON-07,CP-CON-08,CP-CON-09,CP-CON-10,CP-CON-11,CP-CON-12,CP-INC-01,CP-IN"&amp;"C-02,CP-INC-03,CP-INC-04,CP-INC-05,CP-INC-06,CP-INC-07,CP-INC-08,CP-INC-09,CP-INC-10,CP-INC-11,CP-INC-12,CP-INC-13,CP-INC-14,CP-INC-15,CP-INC-16,CP-INC-17,CP-INC-18,CP-DET-01,CP-DET-02,CP-DET-03,CP-DET-04,CP-DET-05,CP-DET-06,CP-DET-07,CP-DET-08,CP-DET-09,"&amp;"CP-DET-10,CP-DET-11,CP-DET-12,CP-HIS-01,CP-HIS-02,CP-HIS-03,CP-HIS-04,CP-HIS-05,CP-HIS-06,CP-HIS-07,CP-HIS-08,CP-HIS-09,CP-HIS-10,CP-HIS-11,CP-EST-01,CP-EST-02,CP-EST-03,CP-EST-04,CP-EST-05,CP-EST-06,CP-EST-07,CP-EST-08,CP-EST-09,CP-EST-10,CP-EST-11,CP-ES"&amp;"T-12,CP-EST-13,CP-AND-01,CP-AND-02,CP-AND-03,CP-AND-04,CP-AND-05,CP-AND-06,CP-AND-07,CP-AND-08,CP-AND-09,CP-AND-10,CP-AND-11,CP-AND-12,CP-ACC-01,CP-ACC-02,CP-ACC-03,CP-ACC-04,CP-ACC-05,CP-ACC-06,CP-ACC-07,CP-ACC-08,CP-ACC-09,CP-ACC-10"</formula1>
    </dataValidation>
    <dataValidation type="list" allowBlank="1" showErrorMessage="1" sqref="J3:J4">
      <formula1>"Rodrigo,Claudio,Esteban"</formula1>
    </dataValidation>
    <dataValidation type="list" allowBlank="1" sqref="H2:H254">
      <formula1>"E1,E2,E3,E4"</formula1>
    </dataValidation>
    <dataValidation type="list" allowBlank="1" sqref="K2:K254">
      <formula1>"Aprobado,Fallido,Bloqueado,No ejecutado"</formula1>
    </dataValidation>
    <dataValidation type="list" allowBlank="1" showErrorMessage="1" sqref="G2:G254">
      <formula1>"F,I,UX,S,NF"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52.0"/>
    <col customWidth="1" min="4" max="4" width="16.0"/>
    <col customWidth="1" min="5" max="5" width="40.0"/>
    <col customWidth="1" min="6" max="26" width="8.71"/>
  </cols>
  <sheetData>
    <row r="1">
      <c r="A1" s="1" t="s">
        <v>130</v>
      </c>
    </row>
    <row r="2">
      <c r="A2" s="2" t="s">
        <v>131</v>
      </c>
    </row>
    <row r="4">
      <c r="A4" s="6" t="s">
        <v>132</v>
      </c>
      <c r="B4" s="6" t="s">
        <v>133</v>
      </c>
      <c r="C4" s="6" t="s">
        <v>22</v>
      </c>
      <c r="D4" s="21" t="s">
        <v>82</v>
      </c>
      <c r="E4" s="21" t="s">
        <v>138</v>
      </c>
    </row>
    <row r="5">
      <c r="A5" s="7">
        <v>1.0</v>
      </c>
      <c r="B5" s="22" t="s">
        <v>95</v>
      </c>
      <c r="C5" s="7" t="s">
        <v>139</v>
      </c>
      <c r="D5" s="14" t="s">
        <v>100</v>
      </c>
      <c r="E5" s="14"/>
    </row>
    <row r="6">
      <c r="A6" s="7">
        <v>2.0</v>
      </c>
      <c r="B6" s="22" t="s">
        <v>143</v>
      </c>
      <c r="C6" s="7" t="s">
        <v>144</v>
      </c>
      <c r="D6" s="14" t="s">
        <v>100</v>
      </c>
      <c r="E6" s="14"/>
    </row>
    <row r="7">
      <c r="A7" s="7">
        <v>3.0</v>
      </c>
      <c r="B7" s="22" t="s">
        <v>146</v>
      </c>
      <c r="C7" s="7" t="s">
        <v>147</v>
      </c>
      <c r="D7" s="14" t="s">
        <v>100</v>
      </c>
      <c r="E7" s="14"/>
    </row>
    <row r="8">
      <c r="A8" s="7">
        <v>4.0</v>
      </c>
      <c r="B8" s="22" t="s">
        <v>149</v>
      </c>
      <c r="C8" s="7" t="s">
        <v>150</v>
      </c>
      <c r="D8" s="14" t="s">
        <v>100</v>
      </c>
      <c r="E8" s="14"/>
    </row>
    <row r="9">
      <c r="A9" s="7">
        <v>5.0</v>
      </c>
      <c r="B9" s="22" t="s">
        <v>151</v>
      </c>
      <c r="C9" s="7" t="s">
        <v>152</v>
      </c>
      <c r="D9" s="14" t="s">
        <v>100</v>
      </c>
      <c r="E9" s="14"/>
    </row>
    <row r="10">
      <c r="A10" s="7">
        <v>6.0</v>
      </c>
      <c r="B10" s="22" t="s">
        <v>153</v>
      </c>
      <c r="C10" s="7" t="s">
        <v>154</v>
      </c>
      <c r="D10" s="14" t="s">
        <v>100</v>
      </c>
      <c r="E10" s="14"/>
    </row>
    <row r="11">
      <c r="A11" s="7">
        <v>7.0</v>
      </c>
      <c r="B11" s="22" t="s">
        <v>156</v>
      </c>
      <c r="C11" s="7" t="s">
        <v>157</v>
      </c>
      <c r="D11" s="14" t="s">
        <v>100</v>
      </c>
      <c r="E11" s="14"/>
    </row>
    <row r="12">
      <c r="A12" s="7">
        <v>8.0</v>
      </c>
      <c r="B12" s="22" t="s">
        <v>158</v>
      </c>
      <c r="C12" s="7" t="s">
        <v>159</v>
      </c>
      <c r="D12" s="14" t="s">
        <v>100</v>
      </c>
      <c r="E12" s="14"/>
    </row>
    <row r="13">
      <c r="A13" s="7">
        <v>9.0</v>
      </c>
      <c r="B13" s="22" t="s">
        <v>168</v>
      </c>
      <c r="C13" s="7" t="s">
        <v>170</v>
      </c>
      <c r="D13" s="14" t="s">
        <v>100</v>
      </c>
      <c r="E13" s="14"/>
    </row>
    <row r="14">
      <c r="A14" s="7">
        <v>10.0</v>
      </c>
      <c r="B14" s="22" t="s">
        <v>173</v>
      </c>
      <c r="C14" s="7" t="s">
        <v>174</v>
      </c>
      <c r="D14" s="14" t="s">
        <v>100</v>
      </c>
      <c r="E14" s="14"/>
    </row>
    <row r="15">
      <c r="A15" s="7">
        <v>11.0</v>
      </c>
      <c r="B15" s="22" t="s">
        <v>179</v>
      </c>
      <c r="C15" s="7" t="s">
        <v>180</v>
      </c>
      <c r="D15" s="14" t="s">
        <v>100</v>
      </c>
      <c r="E15" s="14"/>
    </row>
    <row r="16">
      <c r="A16" s="7">
        <v>12.0</v>
      </c>
      <c r="B16" s="22" t="s">
        <v>181</v>
      </c>
      <c r="C16" s="7" t="s">
        <v>182</v>
      </c>
      <c r="D16" s="14" t="s">
        <v>100</v>
      </c>
      <c r="E16" s="14"/>
    </row>
    <row r="17">
      <c r="A17" s="7">
        <v>13.0</v>
      </c>
      <c r="B17" s="22" t="s">
        <v>183</v>
      </c>
      <c r="C17" s="7" t="s">
        <v>184</v>
      </c>
      <c r="D17" s="14" t="s">
        <v>100</v>
      </c>
      <c r="E17" s="14"/>
    </row>
    <row r="18">
      <c r="A18" s="7">
        <v>14.0</v>
      </c>
      <c r="B18" s="22" t="s">
        <v>185</v>
      </c>
      <c r="C18" s="7" t="s">
        <v>186</v>
      </c>
      <c r="D18" s="14" t="s">
        <v>100</v>
      </c>
      <c r="E18" s="14"/>
    </row>
    <row r="20">
      <c r="B20" s="5" t="s">
        <v>171</v>
      </c>
      <c r="C20" s="5" t="str">
        <f>COUNTIF(D5:D18,"Aprobado")&amp;" de 14"</f>
        <v>0 de 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5:D18">
    <cfRule type="cellIs" dxfId="0" priority="1" operator="equal">
      <formula>"Aprobado"</formula>
    </cfRule>
  </conditionalFormatting>
  <conditionalFormatting sqref="D5:D18">
    <cfRule type="cellIs" dxfId="1" priority="2" operator="equal">
      <formula>"Fallido"</formula>
    </cfRule>
  </conditionalFormatting>
  <dataValidations>
    <dataValidation type="list" allowBlank="1" sqref="D5:D18">
      <formula1>"Aprobado,Fallido,Bloqueado,No ejecutado"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42.0"/>
    <col customWidth="1" min="3" max="3" width="12.0"/>
    <col customWidth="1" min="4" max="5" width="14.0"/>
    <col customWidth="1" min="6" max="26" width="8.71"/>
  </cols>
  <sheetData>
    <row r="1">
      <c r="A1" s="1" t="s">
        <v>160</v>
      </c>
    </row>
    <row r="2">
      <c r="A2" s="2" t="s">
        <v>162</v>
      </c>
    </row>
    <row r="4">
      <c r="A4" s="6" t="s">
        <v>166</v>
      </c>
      <c r="B4" s="6" t="s">
        <v>167</v>
      </c>
      <c r="C4" s="6" t="s">
        <v>169</v>
      </c>
      <c r="D4" s="6" t="s">
        <v>171</v>
      </c>
      <c r="E4" s="6" t="s">
        <v>172</v>
      </c>
    </row>
    <row r="5">
      <c r="A5" s="7" t="s">
        <v>177</v>
      </c>
      <c r="B5" s="7" t="s">
        <v>96</v>
      </c>
      <c r="C5" s="7">
        <f>COUNTIF('Casos de prueba'!$B$2:$B$254,$B5)</f>
        <v>18</v>
      </c>
      <c r="D5" s="7">
        <f>COUNTIFS('Casos de prueba'!$B$2:$B$254,$B5,'Casos de prueba'!$K$2:$K$254,"Aprobado")</f>
        <v>2</v>
      </c>
      <c r="E5" s="24">
        <f t="shared" ref="E5:E22" si="1">IFERROR(D5/C5,0)</f>
        <v>0.1111111111</v>
      </c>
    </row>
    <row r="6">
      <c r="A6" s="7" t="s">
        <v>203</v>
      </c>
      <c r="B6" s="7" t="s">
        <v>96</v>
      </c>
      <c r="C6" s="7">
        <f>COUNTIF('Casos de prueba'!$B$2:$B$254,$B6)</f>
        <v>18</v>
      </c>
      <c r="D6" s="7">
        <f>COUNTIFS('Casos de prueba'!$B$2:$B$254,$B6,'Casos de prueba'!$K$2:$K$254,"Aprobado")</f>
        <v>2</v>
      </c>
      <c r="E6" s="24">
        <f t="shared" si="1"/>
        <v>0.1111111111</v>
      </c>
    </row>
    <row r="7">
      <c r="A7" s="7" t="s">
        <v>210</v>
      </c>
      <c r="B7" s="7" t="s">
        <v>199</v>
      </c>
      <c r="C7" s="7">
        <f>COUNTIF('Casos de prueba'!$B$2:$B$254,$B7)</f>
        <v>12</v>
      </c>
      <c r="D7" s="7">
        <f>COUNTIFS('Casos de prueba'!$B$2:$B$254,$B7,'Casos de prueba'!$K$2:$K$254,"Aprobado")</f>
        <v>0</v>
      </c>
      <c r="E7" s="24">
        <f t="shared" si="1"/>
        <v>0</v>
      </c>
    </row>
    <row r="8">
      <c r="A8" s="7" t="s">
        <v>220</v>
      </c>
      <c r="B8" s="7" t="s">
        <v>221</v>
      </c>
      <c r="C8" s="7">
        <f>COUNTIF('Casos de prueba'!$B$2:$B$254,$B8)</f>
        <v>12</v>
      </c>
      <c r="D8" s="7">
        <f>COUNTIFS('Casos de prueba'!$B$2:$B$254,$B8,'Casos de prueba'!$K$2:$K$254,"Aprobado")</f>
        <v>0</v>
      </c>
      <c r="E8" s="24">
        <f t="shared" si="1"/>
        <v>0</v>
      </c>
    </row>
    <row r="9">
      <c r="A9" s="7" t="s">
        <v>228</v>
      </c>
      <c r="B9" s="7" t="s">
        <v>83</v>
      </c>
      <c r="C9" s="7">
        <f>COUNTIF('Casos de prueba'!$B$2:$B$254,$B9)</f>
        <v>10</v>
      </c>
      <c r="D9" s="7">
        <f>COUNTIFS('Casos de prueba'!$B$2:$B$254,$B9,'Casos de prueba'!$K$2:$K$254,"Aprobado")</f>
        <v>0</v>
      </c>
      <c r="E9" s="24">
        <f t="shared" si="1"/>
        <v>0</v>
      </c>
    </row>
    <row r="10">
      <c r="A10" s="7" t="s">
        <v>236</v>
      </c>
      <c r="B10" s="7" t="s">
        <v>237</v>
      </c>
      <c r="C10" s="7">
        <f>COUNTIF('Casos de prueba'!$B$2:$B$254,$B10)</f>
        <v>33</v>
      </c>
      <c r="D10" s="7">
        <f>COUNTIFS('Casos de prueba'!$B$2:$B$254,$B10,'Casos de prueba'!$K$2:$K$254,"Aprobado")</f>
        <v>0</v>
      </c>
      <c r="E10" s="24">
        <f t="shared" si="1"/>
        <v>0</v>
      </c>
    </row>
    <row r="11">
      <c r="A11" s="7" t="s">
        <v>245</v>
      </c>
      <c r="B11" s="7" t="s">
        <v>246</v>
      </c>
      <c r="C11" s="7">
        <f>COUNTIF('Casos de prueba'!$B$2:$B$254,$B11)</f>
        <v>12</v>
      </c>
      <c r="D11" s="7">
        <f>COUNTIFS('Casos de prueba'!$B$2:$B$254,$B11,'Casos de prueba'!$K$2:$K$254,"Aprobado")</f>
        <v>0</v>
      </c>
      <c r="E11" s="24">
        <f t="shared" si="1"/>
        <v>0</v>
      </c>
    </row>
    <row r="12">
      <c r="A12" s="7" t="s">
        <v>255</v>
      </c>
      <c r="B12" s="7" t="s">
        <v>256</v>
      </c>
      <c r="C12" s="7">
        <f>COUNTIF('Casos de prueba'!$B$2:$B$254,$B12)</f>
        <v>12</v>
      </c>
      <c r="D12" s="7">
        <f>COUNTIFS('Casos de prueba'!$B$2:$B$254,$B12,'Casos de prueba'!$K$2:$K$254,"Aprobado")</f>
        <v>0</v>
      </c>
      <c r="E12" s="24">
        <f t="shared" si="1"/>
        <v>0</v>
      </c>
    </row>
    <row r="13">
      <c r="A13" s="7" t="s">
        <v>264</v>
      </c>
      <c r="B13" s="7" t="s">
        <v>265</v>
      </c>
      <c r="C13" s="7">
        <f>COUNTIF('Casos de prueba'!$B$2:$B$254,$B13)</f>
        <v>18</v>
      </c>
      <c r="D13" s="7">
        <f>COUNTIFS('Casos de prueba'!$B$2:$B$254,$B13,'Casos de prueba'!$K$2:$K$254,"Aprobado")</f>
        <v>0</v>
      </c>
      <c r="E13" s="24">
        <f t="shared" si="1"/>
        <v>0</v>
      </c>
    </row>
    <row r="14">
      <c r="A14" s="7" t="s">
        <v>269</v>
      </c>
      <c r="B14" s="7" t="s">
        <v>270</v>
      </c>
      <c r="C14" s="7">
        <f>COUNTIF('Casos de prueba'!$B$2:$B$254,$B14)</f>
        <v>20</v>
      </c>
      <c r="D14" s="7">
        <f>COUNTIFS('Casos de prueba'!$B$2:$B$254,$B14,'Casos de prueba'!$K$2:$K$254,"Aprobado")</f>
        <v>0</v>
      </c>
      <c r="E14" s="24">
        <f t="shared" si="1"/>
        <v>0</v>
      </c>
    </row>
    <row r="15">
      <c r="A15" s="7" t="s">
        <v>277</v>
      </c>
      <c r="B15" s="7" t="s">
        <v>278</v>
      </c>
      <c r="C15" s="7">
        <f>COUNTIF('Casos de prueba'!$B$2:$B$254,$B15)</f>
        <v>18</v>
      </c>
      <c r="D15" s="7">
        <f>COUNTIFS('Casos de prueba'!$B$2:$B$254,$B15,'Casos de prueba'!$K$2:$K$254,"Aprobado")</f>
        <v>0</v>
      </c>
      <c r="E15" s="24">
        <f t="shared" si="1"/>
        <v>0</v>
      </c>
    </row>
    <row r="16">
      <c r="A16" s="7" t="s">
        <v>284</v>
      </c>
      <c r="B16" s="7" t="s">
        <v>285</v>
      </c>
      <c r="C16" s="7">
        <f>COUNTIF('Casos de prueba'!$B$2:$B$254,$B16)</f>
        <v>12</v>
      </c>
      <c r="D16" s="7">
        <f>COUNTIFS('Casos de prueba'!$B$2:$B$254,$B16,'Casos de prueba'!$K$2:$K$254,"Aprobado")</f>
        <v>0</v>
      </c>
      <c r="E16" s="24">
        <f t="shared" si="1"/>
        <v>0</v>
      </c>
    </row>
    <row r="17">
      <c r="A17" s="7" t="s">
        <v>291</v>
      </c>
      <c r="B17" s="7" t="s">
        <v>292</v>
      </c>
      <c r="C17" s="7">
        <f>COUNTIF('Casos de prueba'!$B$2:$B$254,$B17)</f>
        <v>18</v>
      </c>
      <c r="D17" s="7">
        <f>COUNTIFS('Casos de prueba'!$B$2:$B$254,$B17,'Casos de prueba'!$K$2:$K$254,"Aprobado")</f>
        <v>0</v>
      </c>
      <c r="E17" s="24">
        <f t="shared" si="1"/>
        <v>0</v>
      </c>
    </row>
    <row r="18">
      <c r="A18" s="7" t="s">
        <v>296</v>
      </c>
      <c r="B18" s="7" t="s">
        <v>297</v>
      </c>
      <c r="C18" s="7">
        <f>COUNTIF('Casos de prueba'!$B$2:$B$254,$B18)</f>
        <v>12</v>
      </c>
      <c r="D18" s="7">
        <f>COUNTIFS('Casos de prueba'!$B$2:$B$254,$B18,'Casos de prueba'!$K$2:$K$254,"Aprobado")</f>
        <v>0</v>
      </c>
      <c r="E18" s="24">
        <f t="shared" si="1"/>
        <v>0</v>
      </c>
    </row>
    <row r="19">
      <c r="A19" s="7" t="s">
        <v>302</v>
      </c>
      <c r="B19" s="7" t="s">
        <v>304</v>
      </c>
      <c r="C19" s="7">
        <f>COUNTIF('Casos de prueba'!$B$2:$B$254,$B19)</f>
        <v>11</v>
      </c>
      <c r="D19" s="7">
        <f>COUNTIFS('Casos de prueba'!$B$2:$B$254,$B19,'Casos de prueba'!$K$2:$K$254,"Aprobado")</f>
        <v>0</v>
      </c>
      <c r="E19" s="24">
        <f t="shared" si="1"/>
        <v>0</v>
      </c>
    </row>
    <row r="20">
      <c r="A20" s="7" t="s">
        <v>312</v>
      </c>
      <c r="B20" s="7" t="s">
        <v>313</v>
      </c>
      <c r="C20" s="7">
        <f>COUNTIF('Casos de prueba'!$B$2:$B$254,$B20)</f>
        <v>13</v>
      </c>
      <c r="D20" s="7">
        <f>COUNTIFS('Casos de prueba'!$B$2:$B$254,$B20,'Casos de prueba'!$K$2:$K$254,"Aprobado")</f>
        <v>0</v>
      </c>
      <c r="E20" s="24">
        <f t="shared" si="1"/>
        <v>0</v>
      </c>
    </row>
    <row r="21" ht="15.75" customHeight="1">
      <c r="A21" s="7" t="s">
        <v>320</v>
      </c>
      <c r="B21" s="7" t="s">
        <v>321</v>
      </c>
      <c r="C21" s="7">
        <f>COUNTIF('Casos de prueba'!$B$2:$B$254,$B21)</f>
        <v>12</v>
      </c>
      <c r="D21" s="7">
        <f>COUNTIFS('Casos de prueba'!$B$2:$B$254,$B21,'Casos de prueba'!$K$2:$K$254,"Aprobado")</f>
        <v>0</v>
      </c>
      <c r="E21" s="24">
        <f t="shared" si="1"/>
        <v>0</v>
      </c>
    </row>
    <row r="22" ht="15.75" customHeight="1">
      <c r="A22" s="7" t="s">
        <v>328</v>
      </c>
      <c r="B22" s="7" t="s">
        <v>329</v>
      </c>
      <c r="C22" s="7">
        <f>COUNTIF('Casos de prueba'!$B$2:$B$254,$B22)</f>
        <v>10</v>
      </c>
      <c r="D22" s="7">
        <f>COUNTIFS('Casos de prueba'!$B$2:$B$254,$B22,'Casos de prueba'!$K$2:$K$254,"Aprobado")</f>
        <v>0</v>
      </c>
      <c r="E22" s="24">
        <f t="shared" si="1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2026-09-11T01:52:18Z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